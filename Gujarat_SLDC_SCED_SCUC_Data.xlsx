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1_INSTALLED_CAP" sheetId="2" state="visible" r:id="rId4"/>
    <sheet name="2_TECH_MINIMUM" sheetId="3" state="visible" r:id="rId5"/>
    <sheet name="3_MERIT_ORDER_VAR" sheetId="4" state="visible" r:id="rId6"/>
    <sheet name="4_MERIT_ORDER_FULL" sheetId="5" state="visible" r:id="rId7"/>
    <sheet name="5_COAL_SUPPLY_CURVE" sheetId="6" state="visible" r:id="rId8"/>
    <sheet name="6_RAMP_RATES" sheetId="7" state="visible" r:id="rId9"/>
    <sheet name="7_MISSING_DATA" sheetId="8" state="visible" r:id="rId10"/>
    <sheet name="8_GUJ_ACTUAL_GEN" sheetId="9" state="visible" r:id="rId11"/>
    <sheet name="9_ISGS_DRAWAL" sheetId="10" state="visible" r:id="rId12"/>
    <sheet name="10_GUJ_DEMAND_CURT" sheetId="11" state="visible" r:id="rId13"/>
    <sheet name="11_RESERVOIR_LEVELS" sheetId="12" state="visible" r:id="rId14"/>
    <sheet name="12_IR_EXCHANGE" sheetId="13" state="visible" r:id="rId15"/>
    <sheet name="13_NETWORK_TOPOLOGY" sheetId="14" state="visible" r:id="rId16"/>
    <sheet name="14_TRANSMISSION_LINES" sheetId="15" state="visible" r:id="rId17"/>
    <sheet name="15_ZONAL_MODEL" sheetId="16" state="visible" r:id="rId18"/>
    <sheet name="16_CEA_OPERATION_NORMS" sheetId="17" state="visible" r:id="rId19"/>
    <sheet name="17_GETCO_SUBSTATION_LIST" sheetId="18" state="visible" r:id="rId20"/>
    <sheet name="18_OUTAGE_FRAMEWORK" sheetId="19" state="visible" r:id="rId21"/>
    <sheet name="19_SPINNING_RESERVE" sheetId="20" state="visible" r:id="rId22"/>
    <sheet name="20_DATA_SOURCES_REGISTER" sheetId="21" state="visible" r:id="rId23"/>
    <sheet name="21_LOAD_PROFILE_96BLK" sheetId="22" state="visible" r:id="rId24"/>
    <sheet name="22_RE_GEN_PROFILE" sheetId="23" state="visible" r:id="rId25"/>
    <sheet name="23_LINE_IMPEDANCES" sheetId="24" state="visible" r:id="rId26"/>
    <sheet name="24_STARTUP_COSTS" sheetId="25" state="visible" r:id="rId27"/>
    <sheet name="25_GAS_NOMINATIONS" sheetId="26"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<sst xmlns="http://schemas.openxmlformats.org/spreadsheetml/2006/main" count="5461" uniqueCount="2005">
  <si>
    <t xml:space="preserve">GUJARAT SLDC – SCED/SCUC MODEL DATA COMPENDIUM</t>
  </si>
  <si>
    <t xml:space="preserve">Sheet</t>
  </si>
  <si>
    <t xml:space="preserve">Contents</t>
  </si>
  <si>
    <t xml:space="preserve">Source</t>
  </si>
  <si>
    <t xml:space="preserve">Data Date</t>
  </si>
  <si>
    <t xml:space="preserve">Status</t>
  </si>
  <si>
    <t xml:space="preserve">Notes</t>
  </si>
  <si>
    <t xml:space="preserve">1_INSTALLED_CAP</t>
  </si>
  <si>
    <t xml:space="preserve">Installed &amp; derated capacity of all generators</t>
  </si>
  <si>
    <t xml:space="preserve">GETCO/SLDC PDF</t>
  </si>
  <si>
    <t xml:space="preserve">31-Dec-2025</t>
  </si>
  <si>
    <t xml:space="preserve">✅ Complete</t>
  </si>
  <si>
    <t xml:space="preserve">GSECL + IPP + Central sector GUVNL share</t>
  </si>
  <si>
    <t xml:space="preserve">2_TECH_MINIMUM</t>
  </si>
  <si>
    <t xml:space="preserve">Unit-wise technical minimum (Pmin) in MW</t>
  </si>
  <si>
    <t xml:space="preserve">SLDC Technical Min PDF</t>
  </si>
  <si>
    <t xml:space="preserve">Current</t>
  </si>
  <si>
    <t xml:space="preserve">Coal &amp; Gas units; hydro/RE excluded</t>
  </si>
  <si>
    <t xml:space="preserve">3_MERIT_ORDER_VAR</t>
  </si>
  <si>
    <t xml:space="preserve">Merit order – variable cost only (Rs/kWh)</t>
  </si>
  <si>
    <t xml:space="preserve">SLDC MOD PDF 02-Jun-2026</t>
  </si>
  <si>
    <t xml:space="preserve">02-Jun-2026</t>
  </si>
  <si>
    <t xml:space="preserve">71 generators ranked</t>
  </si>
  <si>
    <t xml:space="preserve">4_MERIT_ORDER_FULL</t>
  </si>
  <si>
    <t xml:space="preserve">Full merit order with fixed + total cost + schedule</t>
  </si>
  <si>
    <t xml:space="preserve">SLDC MOS Excel GJT</t>
  </si>
  <si>
    <t xml:space="preserve">30-May to 03-Jun-2026</t>
  </si>
  <si>
    <t xml:space="preserve">From MOSLDC Excel – 96+ entries with DC/Schedule</t>
  </si>
  <si>
    <t xml:space="preserve">5_COAL_SUPPLY_CURVE</t>
  </si>
  <si>
    <t xml:space="preserve">India coal power supply curve 2024-25</t>
  </si>
  <si>
    <t xml:space="preserve">ICED CSV 2024-25</t>
  </si>
  <si>
    <t xml:space="preserve">2024-25</t>
  </si>
  <si>
    <t xml:space="preserve">✅ Complete (Gujarat subset highlighted)</t>
  </si>
  <si>
    <t xml:space="preserve">153 plants all-India; 11 Gujarat plants</t>
  </si>
  <si>
    <t xml:space="preserve">6_RAMP_RATES</t>
  </si>
  <si>
    <t xml:space="preserve">Unit-wise ramp rates (MW/min) – CEA standard proxy</t>
  </si>
  <si>
    <t xml:space="preserve">CEA/POSOCO standards</t>
  </si>
  <si>
    <t xml:space="preserve">CERC Dec-2023</t>
  </si>
  <si>
    <t xml:space="preserve">⚠️ Proxy</t>
  </si>
  <si>
    <t xml:space="preserve">No Gujarat-specific data; using regulatory bands</t>
  </si>
  <si>
    <t xml:space="preserve">7_MISSING_DATA</t>
  </si>
  <si>
    <t xml:space="preserve">Data gaps to be sourced from SLDC/GETCO internally</t>
  </si>
  <si>
    <t xml:space="preserve">—</t>
  </si>
  <si>
    <t xml:space="preserve">❌ Missing</t>
  </si>
  <si>
    <t xml:space="preserve">Transmission network, load forecast, RE profile etc.</t>
  </si>
  <si>
    <t xml:space="preserve">8_GUJ_ACTUAL_GEN</t>
  </si>
  <si>
    <t xml:space="preserve">Gujarat station-wise actual generation (all fuels) – peak, off-peak, day energy</t>
  </si>
  <si>
    <t xml:space="preserve">WRLDC PSP Report</t>
  </si>
  <si>
    <t xml:space="preserve">30-May-2026</t>
  </si>
  <si>
    <t xml:space="preserve">29 stations incl wind/solar</t>
  </si>
  <si>
    <t xml:space="preserve">9_ISGS_DRAWAL</t>
  </si>
  <si>
    <t xml:space="preserve">Central sector ISGS actual generation + Gujarat allocated share</t>
  </si>
  <si>
    <t xml:space="preserve">25 ISGS stations</t>
  </si>
  <si>
    <t xml:space="preserve">10_GUJ_DEMAND_CURT</t>
  </si>
  <si>
    <t xml:space="preserve">Gujarat demand profile + generation mix % + RE curtailment data</t>
  </si>
  <si>
    <t xml:space="preserve">⚠️ Solar 1,684 MW + Wind 554 MW curtailed</t>
  </si>
  <si>
    <t xml:space="preserve">11_RESERVOIR_LEVELS</t>
  </si>
  <si>
    <t xml:space="preserve">Reservoir levels (SSP, Ukai, Kadana) present vs last year energy</t>
  </si>
  <si>
    <t xml:space="preserve">Hydro constraint data now partially available</t>
  </si>
  <si>
    <t xml:space="preserve">12_IR_EXCHANGE</t>
  </si>
  <si>
    <t xml:space="preserve">WR inter-regional schedule; Gujarat market-wise drawal; frequency profile</t>
  </si>
  <si>
    <t xml:space="preserve">ATC context + frequency deviation data</t>
  </si>
  <si>
    <t xml:space="preserve">13_NETWORK_TOPOLOGY</t>
  </si>
  <si>
    <t xml:space="preserve">Bus/substation list with voltage, zone, connected generators (50+ buses)</t>
  </si>
  <si>
    <t xml:space="preserve">GETCO Power Map</t>
  </si>
  <si>
    <t xml:space="preserve">01-Sep-2023</t>
  </si>
  <si>
    <t xml:space="preserve">⚠️ Topology only</t>
  </si>
  <si>
    <t xml:space="preserve">R/X/B impedance + MVA limits still needed from GETCO</t>
  </si>
  <si>
    <t xml:space="preserve">14_TRANSMISSION_LINES</t>
  </si>
  <si>
    <t xml:space="preserve">Transmission line connectivity: 765/400/220kV + HVDC (60+ lines)</t>
  </si>
  <si>
    <t xml:space="preserve">Lengths and circuits identified; impedances UNKNOWN</t>
  </si>
  <si>
    <t xml:space="preserve">15_ZONAL_MODEL</t>
  </si>
  <si>
    <t xml:space="preserve">5-zone model for GAMS: zone definitions, gen capacity per zone, 9 inter-zonal corridors</t>
  </si>
  <si>
    <t xml:space="preserve">Derived from Power Map</t>
  </si>
  <si>
    <t xml:space="preserve">✅ Ready for GAMS</t>
  </si>
  <si>
    <t xml:space="preserve">Transfer limits indicative; confirm with GETCO ATC</t>
  </si>
  <si>
    <t xml:space="preserve">16_CEA_OPERATION_NORMS</t>
  </si>
  <si>
    <t xml:space="preserve">CEA normative heat rates, FOR%, MUT/MDT, APC for all technology types</t>
  </si>
  <si>
    <t xml:space="preserve">CEA Recommendations CERC 2024-29</t>
  </si>
  <si>
    <t xml:space="preserve">2024</t>
  </si>
  <si>
    <t xml:space="preserve">Ready for GAMS parameterisation</t>
  </si>
  <si>
    <t xml:space="preserve">17_GETCO_SUBSTATION_LIST</t>
  </si>
  <si>
    <t xml:space="preserve">77 GETCO 220/132kV substations by zone, circle, district</t>
  </si>
  <si>
    <t xml:space="preserve">GETCO Annexure-A (Scribd)</t>
  </si>
  <si>
    <t xml:space="preserve">2016</t>
  </si>
  <si>
    <t xml:space="preserve">⚠️ Needs update</t>
  </si>
  <si>
    <t xml:space="preserve">Supplements Sheet 13 bus list</t>
  </si>
  <si>
    <t xml:space="preserve">18_OUTAGE_FRAMEWORK</t>
  </si>
  <si>
    <t xml:space="preserve">Unit-wise normative FOR%, PAF%, availability parameter for GAMS; NPP download guide</t>
  </si>
  <si>
    <t xml:space="preserve">CEA/NPP npp.gov.in</t>
  </si>
  <si>
    <t xml:space="preserve">Daily (manual)</t>
  </si>
  <si>
    <t xml:space="preserve">⚠️ Proxy/Framework</t>
  </si>
  <si>
    <t xml:space="preserve">Download DGR-10 XLS daily from NPP</t>
  </si>
  <si>
    <t xml:space="preserve">19_SPINNING_RESERVE</t>
  </si>
  <si>
    <t xml:space="preserve">Spinning reserve &amp; ancillary service framework; GERC BESS 2026; IEGC FRO</t>
  </si>
  <si>
    <t xml:space="preserve">GERC BESS Reg 2026 + CERC AS Reg</t>
  </si>
  <si>
    <t xml:space="preserve">May-2026</t>
  </si>
  <si>
    <t xml:space="preserve">⚠️ Framework</t>
  </si>
  <si>
    <t xml:space="preserve">Exact MW quantum needs SLDC confirmation</t>
  </si>
  <si>
    <t xml:space="preserve">20_DATA_SOURCES_REGISTER</t>
  </si>
  <si>
    <t xml:space="preserve">Master register of all 25 data sources — status, URL, access method, sheet mapping</t>
  </si>
  <si>
    <t xml:space="preserve">Compiled</t>
  </si>
  <si>
    <t xml:space="preserve">Jun-2026</t>
  </si>
  <si>
    <t xml:space="preserve">Use as data management reference</t>
  </si>
  <si>
    <t xml:space="preserve">DATA AUTHENTICITY:  🟢 AUTH = Official source / uploaded doc  |  🟡 DERIV = Calculated from authentic data  |  🟠 PROXY = Regulatory norm (CEA/CERC/IEA) — valid but not unit-specific  |  🔴 REPR = Reproduced by engineering judgment — MUST BE VERIFIED before GAMS use</t>
  </si>
  <si>
    <t xml:space="preserve">21_LOAD_PROFILE_96BLK</t>
  </si>
  <si>
    <t xml:space="preserve">96-block load profile — 4 seasons × weekday/weekend + solar/wind/residual</t>
  </si>
  <si>
    <t xml:space="preserve">🔴 REPR (shape) + 🟢 AUTH anchors</t>
  </si>
  <si>
    <t xml:space="preserve">WRLDC PSP 30-May-2026</t>
  </si>
  <si>
    <t xml:space="preserve">⚠️ Estimated</t>
  </si>
  <si>
    <t xml:space="preserve">3 AUTH anchor blocks (peak/trough/max). Verify full profile with SLDC.</t>
  </si>
  <si>
    <t xml:space="preserve">22_RE_GEN_PROFILE</t>
  </si>
  <si>
    <t xml:space="preserve">96-block RE profile — total + 4-zone solar split + 2-zone wind split</t>
  </si>
  <si>
    <t xml:space="preserve">AUTH anchors at solar peak 12:08 and wind peak 20:06. Verify with SLDC REMC.</t>
  </si>
  <si>
    <t xml:space="preserve">23_LINE_IMPEDANCES</t>
  </si>
  <si>
    <t xml:space="preserve">R/X/B per-unit + Smax for 59 lines (765/400/220kV + HVDC); 100 MVA base</t>
  </si>
  <si>
    <t xml:space="preserve">🟠 PROXY — standard ACSR params × map lengths</t>
  </si>
  <si>
    <t xml:space="preserve">CEA/IEEE standards</t>
  </si>
  <si>
    <t xml:space="preserve">MUST replace with GETCO actual impedances for security-constrained model.</t>
  </si>
  <si>
    <t xml:space="preserve">24_STARTUP_COSTS</t>
  </si>
  <si>
    <t xml:space="preserve">UC parameters: no-load cost, cold/warm/hot startup cost, MUT/MDT for 36 units</t>
  </si>
  <si>
    <t xml:space="preserve">🟠 PROXY (fixed cost, MUT) + 🔴 REPR (startup cost formula)</t>
  </si>
  <si>
    <t xml:space="preserve">CERC/CEA 2024</t>
  </si>
  <si>
    <t xml:space="preserve">⚠️ Proxy+Repr</t>
  </si>
  <si>
    <t xml:space="preserve">VC from merit order (🟢AUTH). Startup = Pmin×MUT×VC + oil cost formula.</t>
  </si>
  <si>
    <t xml:space="preserve">25_GAS_NOMINATIONS</t>
  </si>
  <si>
    <t xml:space="preserve">Gas tier structure (APM/RLNG/Spot) + prices + estimated daily volumes for 10 plants</t>
  </si>
  <si>
    <t xml:space="preserve">🟢 AUTH (prices from MO PDF) + 🔴 REPR (volumes)</t>
  </si>
  <si>
    <t xml:space="preserve">SLDC MO PDF 02-Jun-2026</t>
  </si>
  <si>
    <t xml:space="preserve">⚠️ Partial</t>
  </si>
  <si>
    <t xml:space="preserve">Prices authentic. Volumes estimated from Pmin×HR/HV. Get actuals from GAIL/GSPC.</t>
  </si>
  <si>
    <t xml:space="preserve">GUJARAT – INSTALLED &amp; DERATED CAPACITY  |  Source: GETCO/SLDC  |  Date: 31-Dec-2025</t>
  </si>
  <si>
    <t xml:space="preserve">#</t>
  </si>
  <si>
    <t xml:space="preserve">Generator / Station</t>
  </si>
  <si>
    <t xml:space="preserve">Sector</t>
  </si>
  <si>
    <t xml:space="preserve">Fuel Type</t>
  </si>
  <si>
    <t xml:space="preserve">Ownership</t>
  </si>
  <si>
    <t xml:space="preserve">Installed Cap (MW)</t>
  </si>
  <si>
    <t xml:space="preserve">Derated / GUVNL Share (MW)</t>
  </si>
  <si>
    <t xml:space="preserve">% Share (GUVNL)</t>
  </si>
  <si>
    <t xml:space="preserve">Remarks</t>
  </si>
  <si>
    <t xml:space="preserve">Data Source</t>
  </si>
  <si>
    <t xml:space="preserve">DHUVARAN CCPP</t>
  </si>
  <si>
    <t xml:space="preserve">GSECL</t>
  </si>
  <si>
    <t xml:space="preserve">Gas</t>
  </si>
  <si>
    <t xml:space="preserve">Incl GT1-4 + STG 1-3</t>
  </si>
  <si>
    <t xml:space="preserve">Installed Cap PDF</t>
  </si>
  <si>
    <t xml:space="preserve">UKAI TPS</t>
  </si>
  <si>
    <t xml:space="preserve">Coal</t>
  </si>
  <si>
    <t xml:space="preserve">Units 1-6</t>
  </si>
  <si>
    <t xml:space="preserve">GANDHINAGAR TPS</t>
  </si>
  <si>
    <t xml:space="preserve">Units 3-5 (1&amp;2 retired)</t>
  </si>
  <si>
    <t xml:space="preserve">WANAKBORI TPS</t>
  </si>
  <si>
    <t xml:space="preserve">Units 1-8</t>
  </si>
  <si>
    <t xml:space="preserve">SIKKA TPS</t>
  </si>
  <si>
    <t xml:space="preserve">Units 3-4</t>
  </si>
  <si>
    <t xml:space="preserve">PANANDHRO</t>
  </si>
  <si>
    <t xml:space="preserve">Coal/Lignite</t>
  </si>
  <si>
    <t xml:space="preserve">BECL</t>
  </si>
  <si>
    <t xml:space="preserve">UTRAN-II CCPP</t>
  </si>
  <si>
    <t xml:space="preserve">UKAI HYDRO</t>
  </si>
  <si>
    <t xml:space="preserve">Hydro</t>
  </si>
  <si>
    <t xml:space="preserve">KADANA HYDRO</t>
  </si>
  <si>
    <t xml:space="preserve">TP-AECO (AMGEN)</t>
  </si>
  <si>
    <t xml:space="preserve">IPP/PVT</t>
  </si>
  <si>
    <t xml:space="preserve">IPP</t>
  </si>
  <si>
    <t xml:space="preserve">GIPCL-I (MANGROL)</t>
  </si>
  <si>
    <t xml:space="preserve">Gas/Lignite</t>
  </si>
  <si>
    <t xml:space="preserve">GIPCL</t>
  </si>
  <si>
    <t xml:space="preserve">SLPP (GIPCL)</t>
  </si>
  <si>
    <t xml:space="preserve">Lignite</t>
  </si>
  <si>
    <t xml:space="preserve">4×125 MW</t>
  </si>
  <si>
    <t xml:space="preserve">GSEG-II (GSPC)</t>
  </si>
  <si>
    <t xml:space="preserve">GSPC</t>
  </si>
  <si>
    <t xml:space="preserve">EPGL (Essar)</t>
  </si>
  <si>
    <t xml:space="preserve">Essar</t>
  </si>
  <si>
    <t xml:space="preserve">2×600 MW</t>
  </si>
  <si>
    <t xml:space="preserve">AKRIMOTA (BECL)</t>
  </si>
  <si>
    <t xml:space="preserve">2×125 MW</t>
  </si>
  <si>
    <t xml:space="preserve">SUGEN CCPP</t>
  </si>
  <si>
    <t xml:space="preserve">Torrent</t>
  </si>
  <si>
    <t xml:space="preserve">UNOSUGEN</t>
  </si>
  <si>
    <t xml:space="preserve">APL (Adani Mundra)</t>
  </si>
  <si>
    <t xml:space="preserve">Adani</t>
  </si>
  <si>
    <t xml:space="preserve">Stage 1: 4×330 + Stage 2: 2×660</t>
  </si>
  <si>
    <t xml:space="preserve">ACB India Ltd</t>
  </si>
  <si>
    <t xml:space="preserve">ACB</t>
  </si>
  <si>
    <t xml:space="preserve">GSPC PIPAVAV (CLPI)</t>
  </si>
  <si>
    <t xml:space="preserve">OPGS</t>
  </si>
  <si>
    <t xml:space="preserve">Currently 0 MW</t>
  </si>
  <si>
    <t xml:space="preserve">DB Power</t>
  </si>
  <si>
    <t xml:space="preserve">KAKRAPAR (KAPS 1&amp;2)</t>
  </si>
  <si>
    <t xml:space="preserve">Central</t>
  </si>
  <si>
    <t xml:space="preserve">Nuclear</t>
  </si>
  <si>
    <t xml:space="preserve">NPCIL</t>
  </si>
  <si>
    <t xml:space="preserve">28.41%</t>
  </si>
  <si>
    <t xml:space="preserve">GUVNL share</t>
  </si>
  <si>
    <t xml:space="preserve">KAKRAPAR EXT (3&amp;4)</t>
  </si>
  <si>
    <t xml:space="preserve">33.99%</t>
  </si>
  <si>
    <t xml:space="preserve">TARAPUR 1&amp;2</t>
  </si>
  <si>
    <t xml:space="preserve">50.00%</t>
  </si>
  <si>
    <t xml:space="preserve">TARAPUR 3&amp;4</t>
  </si>
  <si>
    <t xml:space="preserve">25.37%</t>
  </si>
  <si>
    <t xml:space="preserve">KORBA (NTPC)</t>
  </si>
  <si>
    <t xml:space="preserve">NTPC</t>
  </si>
  <si>
    <t xml:space="preserve">18.14%</t>
  </si>
  <si>
    <t xml:space="preserve">KORBA-7 (NTPC)</t>
  </si>
  <si>
    <t xml:space="preserve">26.07%</t>
  </si>
  <si>
    <t xml:space="preserve">VSTPS-I</t>
  </si>
  <si>
    <t xml:space="preserve">19.66%</t>
  </si>
  <si>
    <t xml:space="preserve">VSTPS-II</t>
  </si>
  <si>
    <t xml:space="preserve">25.26%</t>
  </si>
  <si>
    <t xml:space="preserve">VSTPS-III</t>
  </si>
  <si>
    <t xml:space="preserve">27.96%</t>
  </si>
  <si>
    <t xml:space="preserve">VSTPS-IV</t>
  </si>
  <si>
    <t xml:space="preserve">25.86%</t>
  </si>
  <si>
    <t xml:space="preserve">VSTPS-V</t>
  </si>
  <si>
    <t xml:space="preserve">20.56%</t>
  </si>
  <si>
    <t xml:space="preserve">JHANOR-JGPS (KAWAS)</t>
  </si>
  <si>
    <t xml:space="preserve">36.05%</t>
  </si>
  <si>
    <t xml:space="preserve">KAWAS GAS</t>
  </si>
  <si>
    <t xml:space="preserve">28.50%</t>
  </si>
  <si>
    <t xml:space="preserve">SIPAT-I</t>
  </si>
  <si>
    <t xml:space="preserve">29.14%</t>
  </si>
  <si>
    <t xml:space="preserve">SIPAT-II</t>
  </si>
  <si>
    <t xml:space="preserve">28.60%</t>
  </si>
  <si>
    <t xml:space="preserve">GADARWARA-I</t>
  </si>
  <si>
    <t xml:space="preserve">20.86%</t>
  </si>
  <si>
    <t xml:space="preserve">CGPL MUNDRA UMPP</t>
  </si>
  <si>
    <t xml:space="preserve">Tata</t>
  </si>
  <si>
    <t xml:space="preserve">47.50%</t>
  </si>
  <si>
    <t xml:space="preserve">*Ex-Bus 3800 MW basis</t>
  </si>
  <si>
    <t xml:space="preserve">MSTPS-I (MAUDA)</t>
  </si>
  <si>
    <t xml:space="preserve">45.56%</t>
  </si>
  <si>
    <t xml:space="preserve">MSTPS-II (MAUDA)</t>
  </si>
  <si>
    <t xml:space="preserve">40.17%</t>
  </si>
  <si>
    <t xml:space="preserve">LARA STPP</t>
  </si>
  <si>
    <t xml:space="preserve">11.65%</t>
  </si>
  <si>
    <t xml:space="preserve">KHARGONE STPS</t>
  </si>
  <si>
    <t xml:space="preserve">20.47%</t>
  </si>
  <si>
    <t xml:space="preserve">DADRI-I</t>
  </si>
  <si>
    <t xml:space="preserve">68.69%</t>
  </si>
  <si>
    <t xml:space="preserve">SSP-CHPH</t>
  </si>
  <si>
    <t xml:space="preserve">SSNNL</t>
  </si>
  <si>
    <t xml:space="preserve">16.00%</t>
  </si>
  <si>
    <t xml:space="preserve">SSP-RBPH</t>
  </si>
  <si>
    <t xml:space="preserve">WIND (incl. Hybrid)</t>
  </si>
  <si>
    <t xml:space="preserve">RE</t>
  </si>
  <si>
    <t xml:space="preserve">Wind</t>
  </si>
  <si>
    <t xml:space="preserve">Various</t>
  </si>
  <si>
    <t xml:space="preserve">As on 31-Dec-2025</t>
  </si>
  <si>
    <t xml:space="preserve">SOLAR (excl. Rooftop)</t>
  </si>
  <si>
    <t xml:space="preserve">Solar</t>
  </si>
  <si>
    <t xml:space="preserve">Incl Raghanesda &amp; SKY</t>
  </si>
  <si>
    <t xml:space="preserve">KURNOOL3 SOLAR RE</t>
  </si>
  <si>
    <t xml:space="preserve">BIOMASS</t>
  </si>
  <si>
    <t xml:space="preserve">Biomass</t>
  </si>
  <si>
    <t xml:space="preserve">TOTAL GUJARAT (incl Wind/Solar/Biomass/Small Hydro)</t>
  </si>
  <si>
    <t xml:space="preserve">UNIT-WISE TECHNICAL MINIMUM (Pmin)  |  Source: SLDC Vadodara Technical Minimum PDF  |  Date: Current</t>
  </si>
  <si>
    <t xml:space="preserve">Station / Unit</t>
  </si>
  <si>
    <t xml:space="preserve">Unit No.</t>
  </si>
  <si>
    <t xml:space="preserve">Tech Min / Pmin (MW)</t>
  </si>
  <si>
    <t xml:space="preserve">Config Note</t>
  </si>
  <si>
    <t xml:space="preserve">Fuel</t>
  </si>
  <si>
    <t xml:space="preserve">SIKKA</t>
  </si>
  <si>
    <t xml:space="preserve">1</t>
  </si>
  <si>
    <t xml:space="preserve">Tech Min PDF</t>
  </si>
  <si>
    <t xml:space="preserve">2</t>
  </si>
  <si>
    <t xml:space="preserve">3</t>
  </si>
  <si>
    <t xml:space="preserve">KLTPS</t>
  </si>
  <si>
    <t xml:space="preserve">4</t>
  </si>
  <si>
    <t xml:space="preserve">GANDHINAGAR</t>
  </si>
  <si>
    <t xml:space="preserve">5</t>
  </si>
  <si>
    <t xml:space="preserve">Unit 5 separate</t>
  </si>
  <si>
    <t xml:space="preserve">6</t>
  </si>
  <si>
    <t xml:space="preserve">WANAKBORI</t>
  </si>
  <si>
    <t xml:space="preserve">7</t>
  </si>
  <si>
    <t xml:space="preserve">UTRAN CCPP</t>
  </si>
  <si>
    <t xml:space="preserve">1 GT+STG</t>
  </si>
  <si>
    <t xml:space="preserve">30 MW with 1 GT+STG</t>
  </si>
  <si>
    <t xml:space="preserve">2 GT+STG</t>
  </si>
  <si>
    <t xml:space="preserve">65 MW with 2 GT+STG</t>
  </si>
  <si>
    <t xml:space="preserve">3 GT+STG</t>
  </si>
  <si>
    <t xml:space="preserve">103 MW with 3 GT+STG</t>
  </si>
  <si>
    <t xml:space="preserve">STG</t>
  </si>
  <si>
    <t xml:space="preserve">DGBPS-1 (Dhuvaran)</t>
  </si>
  <si>
    <t xml:space="preserve">GT</t>
  </si>
  <si>
    <t xml:space="preserve">N/A</t>
  </si>
  <si>
    <t xml:space="preserve">DGBPS-2 (Dhuvaran)</t>
  </si>
  <si>
    <t xml:space="preserve">UGPP-II (Unosugen)</t>
  </si>
  <si>
    <t xml:space="preserve">Min 69 MW (1GT+STG)</t>
  </si>
  <si>
    <t xml:space="preserve">GT+STG</t>
  </si>
  <si>
    <t xml:space="preserve">Min 73 MW</t>
  </si>
  <si>
    <t xml:space="preserve">Full</t>
  </si>
  <si>
    <t xml:space="preserve">Full config</t>
  </si>
  <si>
    <t xml:space="preserve">GSEG</t>
  </si>
  <si>
    <t xml:space="preserve">GT-1+STG</t>
  </si>
  <si>
    <t xml:space="preserve">51 MW with 1 GT+STG</t>
  </si>
  <si>
    <t xml:space="preserve">GT-2+STG</t>
  </si>
  <si>
    <t xml:space="preserve">101 MW with 2 GT+STG</t>
  </si>
  <si>
    <t xml:space="preserve">CLPI (GSPC Pipavav)</t>
  </si>
  <si>
    <t xml:space="preserve">142 MW with 1 GT</t>
  </si>
  <si>
    <t xml:space="preserve">284 MW with 2 GT</t>
  </si>
  <si>
    <t xml:space="preserve">426 MW with 3 GT</t>
  </si>
  <si>
    <t xml:space="preserve">GIPCL-I</t>
  </si>
  <si>
    <t xml:space="preserve">35 MW with 1 GT+STG</t>
  </si>
  <si>
    <t xml:space="preserve">105 MW with 3 GT+STG</t>
  </si>
  <si>
    <t xml:space="preserve">GIPCL-II</t>
  </si>
  <si>
    <t xml:space="preserve">ADANI MUNDRA Stage-1</t>
  </si>
  <si>
    <t xml:space="preserve">ADANI MUNDRA Stage-2</t>
  </si>
  <si>
    <t xml:space="preserve">MERIT ORDER – VARIABLE COST BASIS  |  Source: SLDC Merit Order PDF  |  Date: 02-Jun-2026</t>
  </si>
  <si>
    <t xml:space="preserve">Rank</t>
  </si>
  <si>
    <t xml:space="preserve">Variable Cost (Rs/kWh)</t>
  </si>
  <si>
    <t xml:space="preserve">Delivery Point</t>
  </si>
  <si>
    <t xml:space="preserve">Source Doc</t>
  </si>
  <si>
    <t xml:space="preserve">SARDAR SAROVAR PROJECT</t>
  </si>
  <si>
    <t xml:space="preserve">GETCO periphery</t>
  </si>
  <si>
    <t xml:space="preserve">MOD PDF 02-Jun-26</t>
  </si>
  <si>
    <t xml:space="preserve">Compulsory share</t>
  </si>
  <si>
    <t xml:space="preserve">KAKRAPAR APS (KAPS 1&amp;2)</t>
  </si>
  <si>
    <t xml:space="preserve">TARAPUR APS 1&amp;2</t>
  </si>
  <si>
    <t xml:space="preserve">TARAPUR APS 3&amp;4</t>
  </si>
  <si>
    <t xml:space="preserve">SIPAT-1</t>
  </si>
  <si>
    <t xml:space="preserve">LARA STPS</t>
  </si>
  <si>
    <t xml:space="preserve">SIPAT-2</t>
  </si>
  <si>
    <t xml:space="preserve">KORBA-III</t>
  </si>
  <si>
    <t xml:space="preserve">KORBA I&amp;II</t>
  </si>
  <si>
    <t xml:space="preserve">DB POWER LIMITED</t>
  </si>
  <si>
    <t xml:space="preserve">VINDHYACHAL STAGE-4</t>
  </si>
  <si>
    <t xml:space="preserve">VINDHYACHAL STAGE-3</t>
  </si>
  <si>
    <t xml:space="preserve">VINDHYACHAL STAGE-2</t>
  </si>
  <si>
    <t xml:space="preserve">VINDHYACHAL STAGE-5</t>
  </si>
  <si>
    <t xml:space="preserve">VINDHYACHAL STAGE-1</t>
  </si>
  <si>
    <t xml:space="preserve">AKRIMOTA</t>
  </si>
  <si>
    <t xml:space="preserve">State bus</t>
  </si>
  <si>
    <t xml:space="preserve">BARH-I</t>
  </si>
  <si>
    <t xml:space="preserve">KAHALGAON-2</t>
  </si>
  <si>
    <t xml:space="preserve">NABINAGAR STPP</t>
  </si>
  <si>
    <t xml:space="preserve">MAUDA STPS-II</t>
  </si>
  <si>
    <t xml:space="preserve">KAHALGAON-1</t>
  </si>
  <si>
    <t xml:space="preserve">MAUDA STPS-I</t>
  </si>
  <si>
    <t xml:space="preserve">GADARWARA STPS</t>
  </si>
  <si>
    <t xml:space="preserve">GIPCL MANGROL SLPP</t>
  </si>
  <si>
    <t xml:space="preserve">FARAKKA-3</t>
  </si>
  <si>
    <t xml:space="preserve">FARAKKA 1&amp;2</t>
  </si>
  <si>
    <t xml:space="preserve">GIPCL SLPP EXPANSION</t>
  </si>
  <si>
    <t xml:space="preserve">UNCHAHAR-I</t>
  </si>
  <si>
    <t xml:space="preserve">SOLAPUR TPS</t>
  </si>
  <si>
    <t xml:space="preserve">BLTPS 1&amp;2 (BECL)</t>
  </si>
  <si>
    <t xml:space="preserve">WANAKBORI TPS-8</t>
  </si>
  <si>
    <t xml:space="preserve">UKAI TPS-6</t>
  </si>
  <si>
    <t xml:space="preserve">Imported coal</t>
  </si>
  <si>
    <t xml:space="preserve">UKAI TPS-4</t>
  </si>
  <si>
    <t xml:space="preserve">KLTPS-3</t>
  </si>
  <si>
    <t xml:space="preserve">APL-II (Adani Mundra) Stg-2</t>
  </si>
  <si>
    <t xml:space="preserve">As conveyed by APMuL</t>
  </si>
  <si>
    <t xml:space="preserve">KLTPS-4</t>
  </si>
  <si>
    <t xml:space="preserve">APL-II (200 MW block)</t>
  </si>
  <si>
    <t xml:space="preserve">WANAKBORI TPS-3</t>
  </si>
  <si>
    <t xml:space="preserve">APL-I (Adani Mundra) Stg-1</t>
  </si>
  <si>
    <t xml:space="preserve">APL-I (200 MW block)</t>
  </si>
  <si>
    <t xml:space="preserve">GANDHINAGAR TPS Unit-5</t>
  </si>
  <si>
    <t xml:space="preserve">WANAKBORI TPS Unit-7</t>
  </si>
  <si>
    <t xml:space="preserve">WANAKBORI TPS Units 1,2,4,5,6</t>
  </si>
  <si>
    <t xml:space="preserve">UKAI TPS 3&amp;5</t>
  </si>
  <si>
    <t xml:space="preserve">GANDHINAGAR TPS Units 3,4</t>
  </si>
  <si>
    <t xml:space="preserve">EPGL (Essar Power Gujarat)</t>
  </si>
  <si>
    <t xml:space="preserve">SIKKA 3-4</t>
  </si>
  <si>
    <t xml:space="preserve">JHANOR-JGPS APM</t>
  </si>
  <si>
    <t xml:space="preserve">APM gas</t>
  </si>
  <si>
    <t xml:space="preserve">KAWAS GAS APM</t>
  </si>
  <si>
    <t xml:space="preserve">JHANOR-JGPS NON-APM</t>
  </si>
  <si>
    <t xml:space="preserve">Non-APM gas</t>
  </si>
  <si>
    <t xml:space="preserve">KAWAS GAS NON-APM</t>
  </si>
  <si>
    <t xml:space="preserve">KAWAS RLNG</t>
  </si>
  <si>
    <t xml:space="preserve">RLNG</t>
  </si>
  <si>
    <t xml:space="preserve">JHANOR RLNG</t>
  </si>
  <si>
    <t xml:space="preserve">GSEG EXPANSION High Sea Gas</t>
  </si>
  <si>
    <t xml:space="preserve">High Sea Gas</t>
  </si>
  <si>
    <t xml:space="preserve">GPPC High Sea Gas</t>
  </si>
  <si>
    <t xml:space="preserve">UTRAN-II High Sea Gas</t>
  </si>
  <si>
    <t xml:space="preserve">DHUVARAN CCPP-III High Sea Gas</t>
  </si>
  <si>
    <t xml:space="preserve">DHUVARAN CCPP-II High Sea Gas</t>
  </si>
  <si>
    <t xml:space="preserve">GSEG EXPANSION GSPC Spot Gas</t>
  </si>
  <si>
    <t xml:space="preserve">Spot gas</t>
  </si>
  <si>
    <t xml:space="preserve">DHUVARAN CCPP-III GSPC Spot</t>
  </si>
  <si>
    <t xml:space="preserve">UTRAN-II GSPC Spot Gas</t>
  </si>
  <si>
    <t xml:space="preserve">KAWAS GAS Comm</t>
  </si>
  <si>
    <t xml:space="preserve">Commercial RLNG</t>
  </si>
  <si>
    <t xml:space="preserve">GPPC GSPC Spot Gas</t>
  </si>
  <si>
    <t xml:space="preserve">JHANOR-JGPS Comm</t>
  </si>
  <si>
    <t xml:space="preserve">DHUVARAN CCPP-II GSPC Spot</t>
  </si>
  <si>
    <t xml:space="preserve">KAWAS-KGPS Liquid</t>
  </si>
  <si>
    <t xml:space="preserve">Liquid fuel</t>
  </si>
  <si>
    <t xml:space="preserve">FULL MERIT ORDER WITH SCHEDULE  |  Source: MeritOrderSummary_GJT Excel  |  Period: 30-May to 03-Jun-2026</t>
  </si>
  <si>
    <t xml:space="preserve">Station</t>
  </si>
  <si>
    <t xml:space="preserve">Cap Allocated to State (MW)</t>
  </si>
  <si>
    <t xml:space="preserve">Plant Capacity (MW)</t>
  </si>
  <si>
    <t xml:space="preserve">Fixed Cost (Rs/kWh)</t>
  </si>
  <si>
    <t xml:space="preserve">Total Cost (Rs/kWh)</t>
  </si>
  <si>
    <t xml:space="preserve">Declared Capability (MWh)</t>
  </si>
  <si>
    <t xml:space="preserve">Schedule (MWh)</t>
  </si>
  <si>
    <t xml:space="preserve">Remarks / Must-Run</t>
  </si>
  <si>
    <t xml:space="preserve">GSEG_SPOT</t>
  </si>
  <si>
    <t xml:space="preserve">State Gen</t>
  </si>
  <si>
    <t xml:space="preserve">DC = TM / MUST RUN</t>
  </si>
  <si>
    <t xml:space="preserve">UGBPS_2 GAIL SPOT (Unosugen)</t>
  </si>
  <si>
    <t xml:space="preserve">KHPS (Kadana Hydro)</t>
  </si>
  <si>
    <t xml:space="preserve">DHUVARAN CCPP-II ONGC WO</t>
  </si>
  <si>
    <t xml:space="preserve">TAPS 1&amp;2</t>
  </si>
  <si>
    <t xml:space="preserve">Central ISGS</t>
  </si>
  <si>
    <t xml:space="preserve">ACBIL</t>
  </si>
  <si>
    <t xml:space="preserve">Other ISGS</t>
  </si>
  <si>
    <t xml:space="preserve">DARLIPALLI-I</t>
  </si>
  <si>
    <t xml:space="preserve">LSTPP WR (Lara)</t>
  </si>
  <si>
    <t xml:space="preserve">SIPAT-2 WR</t>
  </si>
  <si>
    <t xml:space="preserve">KSTPS 3 WR</t>
  </si>
  <si>
    <t xml:space="preserve">KSTPS WR (Korba)</t>
  </si>
  <si>
    <t xml:space="preserve">TSTPS I ER (Telcher)</t>
  </si>
  <si>
    <t xml:space="preserve">SSP (Sardar Sarovar)</t>
  </si>
  <si>
    <t xml:space="preserve">VSTPS-3</t>
  </si>
  <si>
    <t xml:space="preserve">VSTPS-4</t>
  </si>
  <si>
    <t xml:space="preserve">VTPS-2</t>
  </si>
  <si>
    <t xml:space="preserve">VSTPS-5</t>
  </si>
  <si>
    <t xml:space="preserve">VTPS-1</t>
  </si>
  <si>
    <t xml:space="preserve">KAPS (Kakrapar 1&amp;2)</t>
  </si>
  <si>
    <t xml:space="preserve">AKRIMOTA ALTPS</t>
  </si>
  <si>
    <t xml:space="preserve">KAHALGAON-II</t>
  </si>
  <si>
    <t xml:space="preserve">SLPP-II (GIPCL)</t>
  </si>
  <si>
    <t xml:space="preserve">SLPP-1 (GIPCL)</t>
  </si>
  <si>
    <t xml:space="preserve">KSPP-I ER (Kahelgaon)</t>
  </si>
  <si>
    <t xml:space="preserve">MAUDA-II</t>
  </si>
  <si>
    <t xml:space="preserve">TANDA II NR</t>
  </si>
  <si>
    <t xml:space="preserve">MAUDA-I</t>
  </si>
  <si>
    <t xml:space="preserve">FSTPS-III ER (Farakka)</t>
  </si>
  <si>
    <t xml:space="preserve">FSTPS I&amp;II ER (Farakka)</t>
  </si>
  <si>
    <t xml:space="preserve">AMGEN DEF (TP-AECO)</t>
  </si>
  <si>
    <t xml:space="preserve">TAPS 3&amp;4</t>
  </si>
  <si>
    <t xml:space="preserve">UNCHAHAR-I NR</t>
  </si>
  <si>
    <t xml:space="preserve">UNO SUGEN</t>
  </si>
  <si>
    <t xml:space="preserve">EPGL</t>
  </si>
  <si>
    <t xml:space="preserve">ADANI (Mundra) Unit 5-6</t>
  </si>
  <si>
    <t xml:space="preserve">APMUL-2 Additional 234</t>
  </si>
  <si>
    <t xml:space="preserve">WTPS-8 (Wanakbori)</t>
  </si>
  <si>
    <t xml:space="preserve">UTPS-6 (Ukai)</t>
  </si>
  <si>
    <t xml:space="preserve">ADANI (Mundra) Unit 1-4</t>
  </si>
  <si>
    <t xml:space="preserve">KLTPS 1-3</t>
  </si>
  <si>
    <t xml:space="preserve">APMUL-1 Additional 200</t>
  </si>
  <si>
    <t xml:space="preserve">UTPS-4 (Ukai)</t>
  </si>
  <si>
    <t xml:space="preserve">SOLAPUR</t>
  </si>
  <si>
    <t xml:space="preserve">DADRI-I NR</t>
  </si>
  <si>
    <t xml:space="preserve">WTPS-3 (Wanakbori)</t>
  </si>
  <si>
    <t xml:space="preserve">GTPS-5 (Gandhinagar)</t>
  </si>
  <si>
    <t xml:space="preserve">WTPS-7 (Wanakbori)</t>
  </si>
  <si>
    <t xml:space="preserve">WTPS 1-6 (Wanakbori)</t>
  </si>
  <si>
    <t xml:space="preserve">UTPS 1-5 (Ukai)</t>
  </si>
  <si>
    <t xml:space="preserve">GTPS 3-4 (Gandhinagar)</t>
  </si>
  <si>
    <t xml:space="preserve">GANDHAR GAS APM</t>
  </si>
  <si>
    <t xml:space="preserve">GANDHAR NAPM</t>
  </si>
  <si>
    <t xml:space="preserve">KAWAS NAPM</t>
  </si>
  <si>
    <t xml:space="preserve">SUGEN SPOT Gas</t>
  </si>
  <si>
    <t xml:space="preserve">STPS 3&amp;4 (Sikka)</t>
  </si>
  <si>
    <t xml:space="preserve">GSEG-II High Sea Gas</t>
  </si>
  <si>
    <t xml:space="preserve">DGB-3 High Sea Gas (Dhuvaran)</t>
  </si>
  <si>
    <t xml:space="preserve">UGBPS-2 High Sea Gas</t>
  </si>
  <si>
    <t xml:space="preserve">KAWAS Comm RLNG</t>
  </si>
  <si>
    <t xml:space="preserve">GANDHAR RLNG</t>
  </si>
  <si>
    <t xml:space="preserve">DGB-2 High Sea Gas</t>
  </si>
  <si>
    <t xml:space="preserve">UGBPS-2 GSPC Spot</t>
  </si>
  <si>
    <t xml:space="preserve">GSEG-2 Spot</t>
  </si>
  <si>
    <t xml:space="preserve">GPPC GSPC Spot</t>
  </si>
  <si>
    <t xml:space="preserve">KAWAS LIQUID</t>
  </si>
  <si>
    <t xml:space="preserve">TOTAL</t>
  </si>
  <si>
    <t xml:space="preserve">INDIA COAL POWER SUPPLY CURVE 2024-25  |  Source: ICED CSV  |  Gujarat plants highlighted</t>
  </si>
  <si>
    <t xml:space="preserve">Plant Name</t>
  </si>
  <si>
    <t xml:space="preserve">State</t>
  </si>
  <si>
    <t xml:space="preserve">Capacity (MW)</t>
  </si>
  <si>
    <t xml:space="preserve">Cumulative Cap (GW)</t>
  </si>
  <si>
    <t xml:space="preserve">Gujarat?</t>
  </si>
  <si>
    <t xml:space="preserve">Note</t>
  </si>
  <si>
    <t xml:space="preserve">Chakabura power station</t>
  </si>
  <si>
    <t xml:space="preserve">Chhattisgarh</t>
  </si>
  <si>
    <t xml:space="preserve">Kasaipalli power station</t>
  </si>
  <si>
    <t xml:space="preserve">SWASTIK KORBA</t>
  </si>
  <si>
    <t xml:space="preserve">SASAN UMPP</t>
  </si>
  <si>
    <t xml:space="preserve">Madhya Pradesh</t>
  </si>
  <si>
    <t xml:space="preserve">IND BARATH TPP</t>
  </si>
  <si>
    <t xml:space="preserve">Odisha</t>
  </si>
  <si>
    <t xml:space="preserve">Jaypee Nigrie Super Thermal Power Project</t>
  </si>
  <si>
    <t xml:space="preserve">Ennore Thermal Power Station</t>
  </si>
  <si>
    <t xml:space="preserve">Tamil Nadu</t>
  </si>
  <si>
    <t xml:space="preserve">BUDGE BUDGE</t>
  </si>
  <si>
    <t xml:space="preserve">West Bengal</t>
  </si>
  <si>
    <t xml:space="preserve">Singrauli Super Thermal Power Station</t>
  </si>
  <si>
    <t xml:space="preserve">Uttar Pradesh</t>
  </si>
  <si>
    <t xml:space="preserve">BARSINGAR LIGNITE</t>
  </si>
  <si>
    <t xml:space="preserve">Rajasthan</t>
  </si>
  <si>
    <t xml:space="preserve">KORBA STPS</t>
  </si>
  <si>
    <t xml:space="preserve">Talcher Kaniha Super Thermal Power Station</t>
  </si>
  <si>
    <t xml:space="preserve">STERLITE TPP</t>
  </si>
  <si>
    <t xml:space="preserve">North Karanpura power station</t>
  </si>
  <si>
    <t xml:space="preserve">Jharkhand</t>
  </si>
  <si>
    <t xml:space="preserve">Darlipali power station</t>
  </si>
  <si>
    <t xml:space="preserve">Binjkote power station</t>
  </si>
  <si>
    <t xml:space="preserve">MP Amarkantak power station</t>
  </si>
  <si>
    <t xml:space="preserve">Akrimota Power Project</t>
  </si>
  <si>
    <t xml:space="preserve">Gujarat</t>
  </si>
  <si>
    <t xml:space="preserve">✅ YES</t>
  </si>
  <si>
    <t xml:space="preserve">Gujarat plant – highlighted</t>
  </si>
  <si>
    <t xml:space="preserve">Sanjay Gandhi power station</t>
  </si>
  <si>
    <t xml:space="preserve">Rihand power station</t>
  </si>
  <si>
    <t xml:space="preserve">Kamalanga power station</t>
  </si>
  <si>
    <t xml:space="preserve">SIPAT STPS</t>
  </si>
  <si>
    <t xml:space="preserve">Southern Generating Power Station (Southern Repl. TPS)</t>
  </si>
  <si>
    <t xml:space="preserve">Bakreshwar TPS</t>
  </si>
  <si>
    <t xml:space="preserve">Raigarh TRN Power Project</t>
  </si>
  <si>
    <t xml:space="preserve">Vindhyachal power station</t>
  </si>
  <si>
    <t xml:space="preserve">Sagardighi Thermal Power Station</t>
  </si>
  <si>
    <t xml:space="preserve">Ib Valley Thermal Power Station</t>
  </si>
  <si>
    <t xml:space="preserve">Bela TPS</t>
  </si>
  <si>
    <t xml:space="preserve">Maharashtra</t>
  </si>
  <si>
    <t xml:space="preserve">Anpara-C power station</t>
  </si>
  <si>
    <t xml:space="preserve">Bandel Thermal Power Station</t>
  </si>
  <si>
    <t xml:space="preserve">AMARAVATI TPP</t>
  </si>
  <si>
    <t xml:space="preserve">Raigarh Project (Jindal)</t>
  </si>
  <si>
    <t xml:space="preserve">Tenughat power station</t>
  </si>
  <si>
    <t xml:space="preserve">Dr. Shyama Prasad Mukherjee Thermal Power Station</t>
  </si>
  <si>
    <t xml:space="preserve">Hasdeo Thermal Power Station</t>
  </si>
  <si>
    <t xml:space="preserve">Marwa power station</t>
  </si>
  <si>
    <t xml:space="preserve">Anpara power station</t>
  </si>
  <si>
    <t xml:space="preserve">Guru Hargobind Lehra Mohabbat Power Station</t>
  </si>
  <si>
    <t xml:space="preserve">Punjab</t>
  </si>
  <si>
    <t xml:space="preserve">BALCO Korba power station</t>
  </si>
  <si>
    <t xml:space="preserve">Bara Thermal Power Project</t>
  </si>
  <si>
    <t xml:space="preserve">Lara STPS</t>
  </si>
  <si>
    <t xml:space="preserve">BANDAKHAR TPP</t>
  </si>
  <si>
    <t xml:space="preserve">Mahadev Prasad Super Thermal Power Plant</t>
  </si>
  <si>
    <t xml:space="preserve">Obra TPS</t>
  </si>
  <si>
    <t xml:space="preserve">Kahalgaon Super Thermal Power Plant</t>
  </si>
  <si>
    <t xml:space="preserve">Bihar</t>
  </si>
  <si>
    <t xml:space="preserve">GMR WARORA TPP</t>
  </si>
  <si>
    <t xml:space="preserve">Satpura Thermal Power Station</t>
  </si>
  <si>
    <t xml:space="preserve">Muthukur Mandal power station (Painampuram)</t>
  </si>
  <si>
    <t xml:space="preserve">Andhra Pradesh</t>
  </si>
  <si>
    <t xml:space="preserve">Wardha Warora Power Plant</t>
  </si>
  <si>
    <t xml:space="preserve">Neyveli Thermal Power Station I</t>
  </si>
  <si>
    <t xml:space="preserve">Tamnar power station</t>
  </si>
  <si>
    <t xml:space="preserve">Maithon Right Bank Thermal Power Station</t>
  </si>
  <si>
    <t xml:space="preserve">BHILAI TPP</t>
  </si>
  <si>
    <t xml:space="preserve">Baradarha power station</t>
  </si>
  <si>
    <t xml:space="preserve">Ropar power station</t>
  </si>
  <si>
    <t xml:space="preserve">Surat (Lignite) TPS</t>
  </si>
  <si>
    <t xml:space="preserve">Kolaghat Thermal Power Station</t>
  </si>
  <si>
    <t xml:space="preserve">Chhabra Thermal Power Station</t>
  </si>
  <si>
    <t xml:space="preserve">AVANTHA BHANDAR TPP</t>
  </si>
  <si>
    <t xml:space="preserve">Uchpinda power station</t>
  </si>
  <si>
    <t xml:space="preserve">HALDIA</t>
  </si>
  <si>
    <t xml:space="preserve">Santaldih Thermal Power Station</t>
  </si>
  <si>
    <t xml:space="preserve">PATHADI TPS PH -I</t>
  </si>
  <si>
    <t xml:space="preserve">Kota TPS</t>
  </si>
  <si>
    <t xml:space="preserve">NTPC Seoni power station</t>
  </si>
  <si>
    <t xml:space="preserve">Jawaharpur Thermal Project</t>
  </si>
  <si>
    <t xml:space="preserve">Durgapur DVC power station</t>
  </si>
  <si>
    <t xml:space="preserve">Panki Thermal Power Station</t>
  </si>
  <si>
    <t xml:space="preserve">Barauni power station</t>
  </si>
  <si>
    <t xml:space="preserve">Kalisindh Thermal Power Station</t>
  </si>
  <si>
    <t xml:space="preserve">Rajpura Thermal Power Project</t>
  </si>
  <si>
    <t xml:space="preserve">Shri Singaji MALWA TPP</t>
  </si>
  <si>
    <t xml:space="preserve">JALLIPPA KAPURDI TPP</t>
  </si>
  <si>
    <t xml:space="preserve">Vizag Thermal Power Plant</t>
  </si>
  <si>
    <t xml:space="preserve">Dhariwal power station</t>
  </si>
  <si>
    <t xml:space="preserve">Khaparkheda TPS</t>
  </si>
  <si>
    <t xml:space="preserve">Ramagundam power station</t>
  </si>
  <si>
    <t xml:space="preserve">Telangana</t>
  </si>
  <si>
    <t xml:space="preserve">Kakatiya Thermal Power Project</t>
  </si>
  <si>
    <t xml:space="preserve">DAMODARAM SANJEEVAIAH</t>
  </si>
  <si>
    <t xml:space="preserve">Anuppur power station (Newzone)</t>
  </si>
  <si>
    <t xml:space="preserve">Mundra Thermal Power Project (Adani)</t>
  </si>
  <si>
    <t xml:space="preserve">Salaya power plant</t>
  </si>
  <si>
    <t xml:space="preserve">Kodarma TPP</t>
  </si>
  <si>
    <t xml:space="preserve">Talwandi Sabo Power Project</t>
  </si>
  <si>
    <t xml:space="preserve">Ukai TPS</t>
  </si>
  <si>
    <t xml:space="preserve">Muzaffarpur power station</t>
  </si>
  <si>
    <t xml:space="preserve">Kawai Thermal Power Project</t>
  </si>
  <si>
    <t xml:space="preserve">Koradi Thermal Power Station</t>
  </si>
  <si>
    <t xml:space="preserve">Mejia power station</t>
  </si>
  <si>
    <t xml:space="preserve">DURGAPUR STEEL TPS</t>
  </si>
  <si>
    <t xml:space="preserve">Tanda power station</t>
  </si>
  <si>
    <t xml:space="preserve">JSW RATNAGIRI TPP</t>
  </si>
  <si>
    <t xml:space="preserve">Yamuna Nagar or Deenbandhu Chotu Ram TPS</t>
  </si>
  <si>
    <t xml:space="preserve">Haryana</t>
  </si>
  <si>
    <t xml:space="preserve">Sabarmati power station</t>
  </si>
  <si>
    <t xml:space="preserve">Yadadri power station</t>
  </si>
  <si>
    <t xml:space="preserve">Chandrapura power station</t>
  </si>
  <si>
    <t xml:space="preserve">Simhadri power station</t>
  </si>
  <si>
    <t xml:space="preserve">Goindwal Sahib Thermal Power Plant</t>
  </si>
  <si>
    <t xml:space="preserve">Khurja power station</t>
  </si>
  <si>
    <t xml:space="preserve">Ghatampur power station</t>
  </si>
  <si>
    <t xml:space="preserve">Mahatma Gandhi power station</t>
  </si>
  <si>
    <t xml:space="preserve">Suratgarh Super Thermal Power Station</t>
  </si>
  <si>
    <t xml:space="preserve">Bokaro Thermal Power Station</t>
  </si>
  <si>
    <t xml:space="preserve">MEJA STPP</t>
  </si>
  <si>
    <t xml:space="preserve">Hiranmaye Haldia power station</t>
  </si>
  <si>
    <t xml:space="preserve">SINGARENI TPP</t>
  </si>
  <si>
    <t xml:space="preserve">FARAKKA STPS</t>
  </si>
  <si>
    <t xml:space="preserve">Raghunathpur Thermal Power Station</t>
  </si>
  <si>
    <t xml:space="preserve">Gandhi Nagar TPS</t>
  </si>
  <si>
    <t xml:space="preserve">Chandrapur Thermal Power Station</t>
  </si>
  <si>
    <t xml:space="preserve">Rajiv Gandhi Thermal Power Project</t>
  </si>
  <si>
    <t xml:space="preserve">Bina TPS</t>
  </si>
  <si>
    <t xml:space="preserve">Bhadradri power station</t>
  </si>
  <si>
    <t xml:space="preserve">Dahanu power station</t>
  </si>
  <si>
    <t xml:space="preserve">Bhusawal Thermal Power Station</t>
  </si>
  <si>
    <t xml:space="preserve">Paras power station</t>
  </si>
  <si>
    <t xml:space="preserve">Panipat power station</t>
  </si>
  <si>
    <t xml:space="preserve">Gadarwara power station (BLA)</t>
  </si>
  <si>
    <t xml:space="preserve">Kothagudem Thermal Power Station</t>
  </si>
  <si>
    <t xml:space="preserve">Feroze Gandhi Unchahar Power Station</t>
  </si>
  <si>
    <t xml:space="preserve">Bongaigaon power station</t>
  </si>
  <si>
    <t xml:space="preserve">Assam</t>
  </si>
  <si>
    <t xml:space="preserve">Wanakbori Thermal Power Station</t>
  </si>
  <si>
    <t xml:space="preserve">Mauda power station</t>
  </si>
  <si>
    <t xml:space="preserve">SEMBCORP GAYATRI</t>
  </si>
  <si>
    <t xml:space="preserve">Thoothukudi IBTPL power station</t>
  </si>
  <si>
    <t xml:space="preserve">Nabinagar Thermal Power Project</t>
  </si>
  <si>
    <t xml:space="preserve">Sri Damodaram Sanjeevaiah Thermal Power Station</t>
  </si>
  <si>
    <t xml:space="preserve">Dr. Narla Tata Rao Thermal power station</t>
  </si>
  <si>
    <t xml:space="preserve">North Chennai Thermal Power Station</t>
  </si>
  <si>
    <t xml:space="preserve">Rayalaseema Thermal Power Project</t>
  </si>
  <si>
    <t xml:space="preserve">Vallur Thermal Power Plant</t>
  </si>
  <si>
    <t xml:space="preserve">TIRORA TPP</t>
  </si>
  <si>
    <t xml:space="preserve">Gadarwara Super Thermal Power Project</t>
  </si>
  <si>
    <t xml:space="preserve">Khargone power station</t>
  </si>
  <si>
    <t xml:space="preserve">INDRA GANDHI STPP</t>
  </si>
  <si>
    <t xml:space="preserve">Solapur power station</t>
  </si>
  <si>
    <t xml:space="preserve">Barh I power station</t>
  </si>
  <si>
    <t xml:space="preserve">DADRI (NCTPP)</t>
  </si>
  <si>
    <t xml:space="preserve">Trombay power station</t>
  </si>
  <si>
    <t xml:space="preserve">NASIK</t>
  </si>
  <si>
    <t xml:space="preserve">Ramagudem -B TPS</t>
  </si>
  <si>
    <t xml:space="preserve">Kudgi STPP</t>
  </si>
  <si>
    <t xml:space="preserve">Karnataka</t>
  </si>
  <si>
    <t xml:space="preserve">Raichur Thermal Power Station</t>
  </si>
  <si>
    <t xml:space="preserve">Bellary Thermal Power Station</t>
  </si>
  <si>
    <t xml:space="preserve">Bhavnagar power station</t>
  </si>
  <si>
    <t xml:space="preserve">Kutchh Lignite TPS</t>
  </si>
  <si>
    <t xml:space="preserve">Rosa TPP</t>
  </si>
  <si>
    <t xml:space="preserve">Mettur Thermal Power Station</t>
  </si>
  <si>
    <t xml:space="preserve">Yermarus power station</t>
  </si>
  <si>
    <t xml:space="preserve">Parli Thermal Power Station</t>
  </si>
  <si>
    <t xml:space="preserve">Udupi power station</t>
  </si>
  <si>
    <t xml:space="preserve">Sikka Thermal Power Station</t>
  </si>
  <si>
    <t xml:space="preserve">⚠️  RAMP RATES – CEA/CERC REGULATORY PROXY  |  No Gujarat-unit-specific data publicly available  |  Source: CEA Standards + CERC Dec-2023</t>
  </si>
  <si>
    <t xml:space="preserve">NOTE: These values are derived from CEA standards and CERC December 2023 flexibility regulations. Unit-specific ramp rates for Gujarat plants must be obtained from GSECL/IPP technical data or commissioning reports. Update this sheet when actual data is available.</t>
  </si>
  <si>
    <t xml:space="preserve">Unit Size (MW)</t>
  </si>
  <si>
    <t xml:space="preserve">Technology</t>
  </si>
  <si>
    <t xml:space="preserve">Ramp Rate Up (MW/min)</t>
  </si>
  <si>
    <t xml:space="preserve">Ramp Rate Down (MW/min)</t>
  </si>
  <si>
    <t xml:space="preserve">Basis / Regulatory Source</t>
  </si>
  <si>
    <t xml:space="preserve">Min Load Band</t>
  </si>
  <si>
    <t xml:space="preserve">Must Verify</t>
  </si>
  <si>
    <t xml:space="preserve">GANDHINAGAR TPS Gr 3-5</t>
  </si>
  <si>
    <t xml:space="preserve">Sub-critical</t>
  </si>
  <si>
    <t xml:space="preserve">CEA std 1%/min (sub-critical, 40-55% load)</t>
  </si>
  <si>
    <t xml:space="preserve">40-55% MCR</t>
  </si>
  <si>
    <t xml:space="preserve">YES – get from GSECL</t>
  </si>
  <si>
    <t xml:space="preserve">CEA std 1%/min</t>
  </si>
  <si>
    <t xml:space="preserve">UKAI TPS Gr 1-5</t>
  </si>
  <si>
    <t xml:space="preserve">UKAI TPS Unit 6</t>
  </si>
  <si>
    <t xml:space="preserve">Super-critical</t>
  </si>
  <si>
    <t xml:space="preserve">CEA std 2%/min (super-critical)</t>
  </si>
  <si>
    <t xml:space="preserve">SIKKA TPS 3-4</t>
  </si>
  <si>
    <t xml:space="preserve">YES – get from BECL</t>
  </si>
  <si>
    <t xml:space="preserve">YES – get from GIPCL</t>
  </si>
  <si>
    <t xml:space="preserve">CEA std 2%/min</t>
  </si>
  <si>
    <t xml:space="preserve">YES – get from Adani</t>
  </si>
  <si>
    <t xml:space="preserve">CEA std 3%/min (ultra-SC)</t>
  </si>
  <si>
    <t xml:space="preserve">YES – get from Essar</t>
  </si>
  <si>
    <t xml:space="preserve">CEA std 3%/min</t>
  </si>
  <si>
    <t xml:space="preserve">YES – get from Tata Power</t>
  </si>
  <si>
    <t xml:space="preserve">SUGEN / UNOSUGEN CCPP</t>
  </si>
  <si>
    <t xml:space="preserve">CCGT</t>
  </si>
  <si>
    <t xml:space="preserve">CCGT 5%/min (IEA benchmark)</t>
  </si>
  <si>
    <t xml:space="preserve">30% MCR</t>
  </si>
  <si>
    <t xml:space="preserve">YES – get from Torrent</t>
  </si>
  <si>
    <t xml:space="preserve">CCGT 5%/min</t>
  </si>
  <si>
    <t xml:space="preserve">JHANOR-JGPS / KAWAS</t>
  </si>
  <si>
    <t xml:space="preserve">OCGT</t>
  </si>
  <si>
    <t xml:space="preserve">OCGT 8%/min (fast start)</t>
  </si>
  <si>
    <t xml:space="preserve">15% MCR</t>
  </si>
  <si>
    <t xml:space="preserve">YES – get from NTPC</t>
  </si>
  <si>
    <t xml:space="preserve">Hydro ~15%/min (IEA)</t>
  </si>
  <si>
    <t xml:space="preserve">0-10% MCR</t>
  </si>
  <si>
    <t xml:space="preserve">Hydro ~15%/min</t>
  </si>
  <si>
    <t xml:space="preserve">YES – get from SSNNL</t>
  </si>
  <si>
    <t xml:space="preserve">❌  MISSING DATA TRACKER – REQUIRED FOR GAMS SCED/SCUC MODEL</t>
  </si>
  <si>
    <t xml:space="preserve">Data Parameter</t>
  </si>
  <si>
    <t xml:space="preserve">Why Needed in GAMS Model</t>
  </si>
  <si>
    <t xml:space="preserve">Granularity Required</t>
  </si>
  <si>
    <t xml:space="preserve">Source to Approach</t>
  </si>
  <si>
    <t xml:space="preserve">Priority</t>
  </si>
  <si>
    <t xml:space="preserve">Transmission Network Model
(Bus topology, line impedance R/X, thermal limits – 220kV/400kV)</t>
  </si>
  <si>
    <t xml:space="preserve">Core of 'SC' in SCED/SCUC – DC Power Flow / PTDF matrix; without this only zonal model possible</t>
  </si>
  <si>
    <t xml:space="preserve">Line-level: impedance, Smax (MVA), from-bus / to-bus</t>
  </si>
  <si>
    <t xml:space="preserve">GETCO Network Planning Dept</t>
  </si>
  <si>
    <t xml:space="preserve">P1 – CRITICAL</t>
  </si>
  <si>
    <t xml:space="preserve">❌ Not Available</t>
  </si>
  <si>
    <t xml:space="preserve">Bus-wise / Zonal Load Data
(96 time-blocks × zone per day)</t>
  </si>
  <si>
    <t xml:space="preserve">Nodal or zonal demand constraint in SCED; needed every 15-min block</t>
  </si>
  <si>
    <t xml:space="preserve">15-min blocks × N zones; day-ahead and actual</t>
  </si>
  <si>
    <t xml:space="preserve">SLDC / DISCOMs (DGVCL, MGVCL, UGVCL, PGVCL)</t>
  </si>
  <si>
    <t xml:space="preserve">RE Generation Forecast Profile
(Wind &amp; Solar – 15-min block)</t>
  </si>
  <si>
    <t xml:space="preserve">Must-run RE injection → residual demand → curtailment optimization objective</t>
  </si>
  <si>
    <t xml:space="preserve">15-min MW forecast per RE zone / aggregated</t>
  </si>
  <si>
    <t xml:space="preserve">SLDC REMC / GUVNL RE forecast team</t>
  </si>
  <si>
    <t xml:space="preserve">Central Sector Drawal Schedule
(ISGS unit-wise 96-block schedule from WRLDC)</t>
  </si>
  <si>
    <t xml:space="preserve">ISGS units are must-take/partially firm; constrains state dispatch headroom</t>
  </si>
  <si>
    <t xml:space="preserve">15-min block × ISGS unit; daily schedule</t>
  </si>
  <si>
    <t xml:space="preserve">WRLDC / POSOCO drawal schedule portal</t>
  </si>
  <si>
    <t xml:space="preserve">Minimum Up Time / Down Time
(MUT/MDT per thermal unit)</t>
  </si>
  <si>
    <t xml:space="preserve">Binary UC constraint – unit cannot start/stop faster than MUT/MDT</t>
  </si>
  <si>
    <t xml:space="preserve">Hours per unit</t>
  </si>
  <si>
    <t xml:space="preserve">GSECL / IPP commissioning reports; CERC petitions</t>
  </si>
  <si>
    <t xml:space="preserve">P2 – HIGH</t>
  </si>
  <si>
    <t xml:space="preserve">⚠️ Use generic proxy</t>
  </si>
  <si>
    <t xml:space="preserve">Startup &amp; Shutdown Costs
(Cold/warm/hot start cost per unit)</t>
  </si>
  <si>
    <t xml:space="preserve">UC objective function includes startup cost to avoid unnecessary cycling</t>
  </si>
  <si>
    <t xml:space="preserve">Rs per startup event (cold/warm/hot); per unit</t>
  </si>
  <si>
    <t xml:space="preserve">GERC tariff petitions (GSECL, GIPCL, Adani etc.)</t>
  </si>
  <si>
    <t xml:space="preserve">⚠️ Derive from tariff orders</t>
  </si>
  <si>
    <t xml:space="preserve">No-Load (Fixed O&amp;M) Cost
(per hour per committed unit)</t>
  </si>
  <si>
    <t xml:space="preserve">Two-part cost in UC – generator incurs cost even at Pmin</t>
  </si>
  <si>
    <t xml:space="preserve">Rs/hr per unit</t>
  </si>
  <si>
    <t xml:space="preserve">GERC / CERC tariff orders</t>
  </si>
  <si>
    <t xml:space="preserve">⚠️ Partially in Sheet 4</t>
  </si>
  <si>
    <t xml:space="preserve">Unit-Specific Ramp Rates
(Actual measured, not CEA proxy)</t>
  </si>
  <si>
    <t xml:space="preserve">UC/ED ramp constraint – limits inter-period generation change</t>
  </si>
  <si>
    <t xml:space="preserve">MW/min up and down per unit</t>
  </si>
  <si>
    <t xml:space="preserve">GSECL / IPP O&amp;M dept; CEA performance reports</t>
  </si>
  <si>
    <t xml:space="preserve">⚠️ Proxy in Sheet 6</t>
  </si>
  <si>
    <t xml:space="preserve">Spinning Reserve Requirement
(State &amp; inter-state obligation)</t>
  </si>
  <si>
    <t xml:space="preserve">UC must ensure adequate online reserve ≥ state policy / IEGC obligation</t>
  </si>
  <si>
    <t xml:space="preserve">MW per time-block; percentage of peak</t>
  </si>
  <si>
    <t xml:space="preserve">SLDC operational policy; IEGC / GERC Grid Code 2026</t>
  </si>
  <si>
    <t xml:space="preserve">Hydro Reservoir &amp; Water Availability
(SSP, Kadana, Ukai Hy – daily/seasonal)</t>
  </si>
  <si>
    <t xml:space="preserve">Hydro dispatch is water-energy constrained; water availability limits generation</t>
  </si>
  <si>
    <t xml:space="preserve">MWh / m³ daily; seasonal profile</t>
  </si>
  <si>
    <t xml:space="preserve">SSNNL / GSECL Hydro; CWC reservoir bulletins</t>
  </si>
  <si>
    <t xml:space="preserve">Gas Fuel Nomination &amp; Tier Availability
(APM / Non-APM / RLNG / Spot per day)</t>
  </si>
  <si>
    <t xml:space="preserve">Same gas plant has 4 different cost tiers; daily nomination determines which tier is active</t>
  </si>
  <si>
    <t xml:space="preserve">MMSCMD per tier per gas station per day</t>
  </si>
  <si>
    <t xml:space="preserve">GAIL daily nominations; GSPC gas supply contracts</t>
  </si>
  <si>
    <t xml:space="preserve">Planned / Forced Outage Schedule
(Unit availability flag per time-block)</t>
  </si>
  <si>
    <t xml:space="preserve">UC must skip unavailable units; outage schedule = availability parameter</t>
  </si>
  <si>
    <t xml:space="preserve">Binary (0/1) per unit per time-block</t>
  </si>
  <si>
    <t xml:space="preserve">SLDC / GSECL outage coordination; POSOCO NOAR</t>
  </si>
  <si>
    <t xml:space="preserve">Historical RE Curtailment Data</t>
  </si>
  <si>
    <t xml:space="preserve">Model validation – compare GAMS output vs. actual curtailment events</t>
  </si>
  <si>
    <t xml:space="preserve">MWh curtailed per RE zone per day</t>
  </si>
  <si>
    <t xml:space="preserve">SLDC internal logs; GUVNL RE scheduling</t>
  </si>
  <si>
    <t xml:space="preserve">P3 – MEDIUM</t>
  </si>
  <si>
    <t xml:space="preserve">ATC / Inter-Regional Transfer Limits
(Gujarat ↔ WR corridor limits)</t>
  </si>
  <si>
    <t xml:space="preserve">Boundary constraint on import/export from/to WR grid</t>
  </si>
  <si>
    <t xml:space="preserve">MW per time-block (seasonal ATC)</t>
  </si>
  <si>
    <t xml:space="preserve">WRLDC; GUVNL LTOA/MTOA corridor data</t>
  </si>
  <si>
    <t xml:space="preserve">⚠️ Rough estimate possible</t>
  </si>
  <si>
    <t xml:space="preserve">Heat Rate Curves
(input-output or incremental heat rate per unit)</t>
  </si>
  <si>
    <t xml:space="preserve">For a cost-accurate SCED, piecewise linear heat rate is more accurate than flat variable cost</t>
  </si>
  <si>
    <t xml:space="preserve">Piecewise linear: MW blocks vs. kcal/kWh</t>
  </si>
  <si>
    <t xml:space="preserve">CEA Annual Performance Reports; POSOCO SCED dataset</t>
  </si>
  <si>
    <t xml:space="preserve">⚠️ ICED CSV gives proxy</t>
  </si>
  <si>
    <t xml:space="preserve">✅ UPDATES FROM WRLDC PSP REPORT (30-May-2026):  #4 ISGS Drawal → RESOLVED (Sheet 9)  |  #10 Hydro Reservoir → RESOLVED (Sheet 11)  |  #13 RE Curtailment → RESOLVED (Sheet 10: Solar 2.21 MU + Wind 0.69 MU curtailed on 30-May-2026)  |  #14 ATC/IR Limits → PARTIALLY RESOLVED (Sheet 12)</t>
  </si>
  <si>
    <t xml:space="preserve">⚠️ UPDATE (GETCO Power Map 01-Sep-2023):  #11 Transmission Network → PARTIALLY RESOLVED — Bus topology + line connectivity in Sheets 13–15. R/X impedances + MVA thermal limits still UNKNOWN. Full nodal model still requires GETCO data.</t>
  </si>
  <si>
    <t xml:space="preserve">✅ UPDATES FROM EXTERNAL SEARCH (Jun-2026): #7 MUT/MDT → NOW IN Sheet 16 (CEA proxy)  |  #8 Startup costs → Partially in Sheet 16 (cold/warm/hot time proxies)  |  #9 Spinning Reserve → Framework in Sheet 19 (GERC BESS 2026 + IEGC)  |  #12 Outage rates → Framework + FOR% in Sheet 18 (CEA norms)  |  #15 Heat rates → Normative values in Sheet 16 (CEA 2024-29 norms)  |  Still MISSING: Line impedances, 96-block load data, RE forecast, gas nominations</t>
  </si>
  <si>
    <t xml:space="preserve">✅ REPRODUCED DATA ADDED (Jun-2026 — All remaining gaps filled by engineering estimates): Sheet 21: 96-block load (🔴REPR, 3 AUTH anchors)  |  Sheet 22: RE generation profile (🔴REPR, 2 AUTH anchors)  |  Sheet 23: Line impedances R/X/B (🟠PROXY — standard ACSR)  |  Sheet 24: Startup/no-load costs + MUT/MDT (🟠PROXY+🔴REPR)  |  Sheet 25: Gas nomination tiers (🟢AUTH prices + 🔴REPR volumes)  |  ⚠️ NO CRITICAL DATA GAPS REMAIN — All parameters available for GAMS model build. Reproduced data MUST be validated with SLDC/GETCO/GSECL before production use.</t>
  </si>
  <si>
    <t xml:space="preserve">GUJARAT ACTUAL GENERATION  |  Source: WRLDC PSP Report  |  Date: 30-May-2026</t>
  </si>
  <si>
    <t xml:space="preserve">Inst Cap
(MW)</t>
  </si>
  <si>
    <t xml:space="preserve">Peak MW
(20:00)</t>
  </si>
  <si>
    <t xml:space="preserve">Off-Peak MW
(03:00)</t>
  </si>
  <si>
    <t xml:space="preserve">Day Peak
(MW)</t>
  </si>
  <si>
    <t xml:space="preserve">Peak Time</t>
  </si>
  <si>
    <t xml:space="preserve">Min Gen
06-18h (MW)</t>
  </si>
  <si>
    <t xml:space="preserve">Gross Energy
(MU)</t>
  </si>
  <si>
    <t xml:space="preserve">Net Energy
(MU)</t>
  </si>
  <si>
    <t xml:space="preserve">Avg
(MW)</t>
  </si>
  <si>
    <t xml:space="preserve">AECO / TP-AECO</t>
  </si>
  <si>
    <t xml:space="preserve">Thermal</t>
  </si>
  <si>
    <t xml:space="preserve">03:25</t>
  </si>
  <si>
    <t xml:space="preserve">AKRIMOTA (ALTPS)</t>
  </si>
  <si>
    <t xml:space="preserve">00:03</t>
  </si>
  <si>
    <t xml:space="preserve">APL MUNDRA (Adani)</t>
  </si>
  <si>
    <t xml:space="preserve">23:49</t>
  </si>
  <si>
    <t xml:space="preserve">BLTPS (BECL)</t>
  </si>
  <si>
    <t xml:space="preserve">21:25</t>
  </si>
  <si>
    <t xml:space="preserve">GANDHINAGAR TPS (GTPS)</t>
  </si>
  <si>
    <t xml:space="preserve">00:00</t>
  </si>
  <si>
    <t xml:space="preserve">00:16</t>
  </si>
  <si>
    <t xml:space="preserve">OTHER CPP</t>
  </si>
  <si>
    <t xml:space="preserve">00:32</t>
  </si>
  <si>
    <t xml:space="preserve">STPS (Sikka)</t>
  </si>
  <si>
    <t xml:space="preserve">23:57</t>
  </si>
  <si>
    <t xml:space="preserve">VADINAR (EPGL / Essar)</t>
  </si>
  <si>
    <t xml:space="preserve">09:30</t>
  </si>
  <si>
    <t xml:space="preserve">DGBPS (Dhuvaran CCPP)</t>
  </si>
  <si>
    <t xml:space="preserve">ESSAR POWER GAS</t>
  </si>
  <si>
    <t xml:space="preserve">GIPCL STG-1</t>
  </si>
  <si>
    <t xml:space="preserve">GIPCL STG-2</t>
  </si>
  <si>
    <t xml:space="preserve">GPEC (GSPC Pipavav CLPI)</t>
  </si>
  <si>
    <t xml:space="preserve">GPPC</t>
  </si>
  <si>
    <t xml:space="preserve">GSEG (GSEC)</t>
  </si>
  <si>
    <t xml:space="preserve">SUGEN CCPP (Torrent)</t>
  </si>
  <si>
    <t xml:space="preserve">19:02</t>
  </si>
  <si>
    <t xml:space="preserve">UNOSUGEN (Torrent)</t>
  </si>
  <si>
    <t xml:space="preserve">UTRAN STG-II</t>
  </si>
  <si>
    <t xml:space="preserve">18:53</t>
  </si>
  <si>
    <t xml:space="preserve">LBC PANAM HYDRO</t>
  </si>
  <si>
    <t xml:space="preserve">PVT HYDRO (Small)</t>
  </si>
  <si>
    <t xml:space="preserve">01:32</t>
  </si>
  <si>
    <t xml:space="preserve">WIND (8,836 MW installed)</t>
  </si>
  <si>
    <t xml:space="preserve">20:06</t>
  </si>
  <si>
    <t xml:space="preserve">SOLAR (15,238 MW inst.)</t>
  </si>
  <si>
    <t xml:space="preserve">12:08</t>
  </si>
  <si>
    <t xml:space="preserve">TOTAL GUJARAT</t>
  </si>
  <si>
    <t xml:space="preserve">GUJARAT SUMMARY (30-May-2026):  Evening Peak Demand: 22,145 MW  |  Off-Peak: 20,185 MW  |  Max Demand: 26,093 MW @ 15:30  |  Day Consumption: 534.5 MU  |  Zero shortage</t>
  </si>
  <si>
    <t xml:space="preserve">ISGS ACTUAL GENERATION &amp; GUJARAT ALLOCATED SHARE  |  Source: WRLDC PSP 30-May-2026</t>
  </si>
  <si>
    <t xml:space="preserve">ISGS Station</t>
  </si>
  <si>
    <t xml:space="preserve">Guj Share
(MW)</t>
  </si>
  <si>
    <t xml:space="preserve">Min Gen
(MW)</t>
  </si>
  <si>
    <t xml:space="preserve">Scheduled
(MU)</t>
  </si>
  <si>
    <t xml:space="preserve">Gross
(MU)</t>
  </si>
  <si>
    <t xml:space="preserve">Net
(MU)</t>
  </si>
  <si>
    <t xml:space="preserve">GADARWARA (2×800)</t>
  </si>
  <si>
    <t xml:space="preserve">GANDHAR GAS</t>
  </si>
  <si>
    <t xml:space="preserve">KAPS 1&amp;2 (Kakrapar)</t>
  </si>
  <si>
    <t xml:space="preserve">KAPS 3&amp;4 (Kakrapar Ext)</t>
  </si>
  <si>
    <t xml:space="preserve">KORBA KSTPS 1&amp;2</t>
  </si>
  <si>
    <t xml:space="preserve">KORBA KSTPS-3</t>
  </si>
  <si>
    <t xml:space="preserve">LARA STPS (2×800)</t>
  </si>
  <si>
    <t xml:space="preserve">MAUDA-I (MOUDA)</t>
  </si>
  <si>
    <t xml:space="preserve">MAUDA-II (MOUDA)</t>
  </si>
  <si>
    <t xml:space="preserve">NSPCL (JV)</t>
  </si>
  <si>
    <t xml:space="preserve">See Sh.1</t>
  </si>
  <si>
    <t xml:space="preserve">RGPPL (Gas JV)</t>
  </si>
  <si>
    <t xml:space="preserve">SASAN UMPP (Reliance)</t>
  </si>
  <si>
    <t xml:space="preserve">SIPAT-I (3×660)</t>
  </si>
  <si>
    <t xml:space="preserve">SIPAT-II (2×500)</t>
  </si>
  <si>
    <t xml:space="preserve">SOLAPUR STPS (2×660)</t>
  </si>
  <si>
    <t xml:space="preserve">SSP RBPH+CHPH</t>
  </si>
  <si>
    <t xml:space="preserve">TARAPUR 1&amp;2 (TAPS)</t>
  </si>
  <si>
    <t xml:space="preserve">TARAPUR 3&amp;4 (TAPS)</t>
  </si>
  <si>
    <t xml:space="preserve">VSTPS-I (6×210)</t>
  </si>
  <si>
    <t xml:space="preserve">VSTPS-II (2×500)</t>
  </si>
  <si>
    <t xml:space="preserve">VSTPS-III (2×500)</t>
  </si>
  <si>
    <t xml:space="preserve">VSTPS-IV (2×500)</t>
  </si>
  <si>
    <t xml:space="preserve">VSTPS-V (1×500)</t>
  </si>
  <si>
    <t xml:space="preserve">GUJARAT DEMAND, GENERATION MIX &amp; RE CURTAILMENT  |  Source: WRLDC PSP 30-May-2026</t>
  </si>
  <si>
    <t xml:space="preserve">A. DEMAND PROFILE – GUJARAT</t>
  </si>
  <si>
    <t xml:space="preserve">Parameter</t>
  </si>
  <si>
    <t xml:space="preserve">Evening Peak
(20:00)</t>
  </si>
  <si>
    <t xml:space="preserve">Off-Peak
(03:00)</t>
  </si>
  <si>
    <t xml:space="preserve">Max Demand
(MW)</t>
  </si>
  <si>
    <t xml:space="preserve">Time of Max</t>
  </si>
  <si>
    <t xml:space="preserve">Day Avg
(MW)</t>
  </si>
  <si>
    <t xml:space="preserve">Day
Consumption
(MU)</t>
  </si>
  <si>
    <t xml:space="preserve">Forecast
(MU)</t>
  </si>
  <si>
    <t xml:space="preserve">Demand Met</t>
  </si>
  <si>
    <t xml:space="preserve">15:30</t>
  </si>
  <si>
    <t xml:space="preserve">Shortage (MW)</t>
  </si>
  <si>
    <t xml:space="preserve">ACE Max / Min</t>
  </si>
  <si>
    <t xml:space="preserve">12:37/07:31</t>
  </si>
  <si>
    <t xml:space="preserve">Frequency (Hz)</t>
  </si>
  <si>
    <t xml:space="preserve">B. GENERATION MIX – GUJARAT (State Control Area Only)</t>
  </si>
  <si>
    <t xml:space="preserve">% Share</t>
  </si>
  <si>
    <t xml:space="preserve">Avg MW</t>
  </si>
  <si>
    <t xml:space="preserve">Thermal (Coal/Lignite)</t>
  </si>
  <si>
    <t xml:space="preserve">Incl GSECL + Adani + Essar + GIPCL</t>
  </si>
  <si>
    <t xml:space="preserve">Only Sugen+Unosugen active; all others at 0</t>
  </si>
  <si>
    <t xml:space="preserve">Kadana + Ukai Hy + Small</t>
  </si>
  <si>
    <t xml:space="preserve">8,836 MW installed; CF ~59% on this day</t>
  </si>
  <si>
    <t xml:space="preserve">15,238 MW inst; peaks 9,993 MW at 12:08</t>
  </si>
  <si>
    <t xml:space="preserve">Not dispatched on this day</t>
  </si>
  <si>
    <t xml:space="preserve">100.0%</t>
  </si>
  <si>
    <t xml:space="preserve">C. RE CURTAILMENT – GUJARAT (30-May-2026)  ⚠️  KEY MODEL VALIDATION DATA</t>
  </si>
  <si>
    <t xml:space="preserve">Type</t>
  </si>
  <si>
    <t xml:space="preserve">Max MW Curtailed</t>
  </si>
  <si>
    <t xml:space="preserve">Energy Curtailed
(MU)</t>
  </si>
  <si>
    <t xml:space="preserve">Reason</t>
  </si>
  <si>
    <t xml:space="preserve">Significance</t>
  </si>
  <si>
    <t xml:space="preserve">Wind Curtailment</t>
  </si>
  <si>
    <t xml:space="preserve">To control Under-Drawal (UD)</t>
  </si>
  <si>
    <t xml:space="preserve">Wind curtailed → RE curtailment is REAL in Gujarat grid</t>
  </si>
  <si>
    <t xml:space="preserve">Solar Curtailment</t>
  </si>
  <si>
    <t xml:space="preserve">1,684 MW solar curtailed at midday — core model objective to minimize this</t>
  </si>
  <si>
    <t xml:space="preserve">TOTAL RE Curtailed</t>
  </si>
  <si>
    <t xml:space="preserve">UD Management</t>
  </si>
  <si>
    <t xml:space="preserve">2.90 MU on single day — annualise to estimate curtailment problem scale</t>
  </si>
  <si>
    <t xml:space="preserve">MAJOR RESERVOIR LEVELS  |  Source: WRLDC PSP 30-May-2026  |  Gujarat reservoirs highlighted</t>
  </si>
  <si>
    <t xml:space="preserve">Reservoir</t>
  </si>
  <si>
    <t xml:space="preserve">MDDL
(m)</t>
  </si>
  <si>
    <t xml:space="preserve">FRL
(m)</t>
  </si>
  <si>
    <t xml:space="preserve">Design
Energy
(MU)</t>
  </si>
  <si>
    <t xml:space="preserve">Present
Level (m)</t>
  </si>
  <si>
    <t xml:space="preserve">Present
Energy (MU)</t>
  </si>
  <si>
    <t xml:space="preserve">Last Year
Level (m)</t>
  </si>
  <si>
    <t xml:space="preserve">Last Year
Energy (MU)</t>
  </si>
  <si>
    <t xml:space="preserve">SSP (Sardar Sarovar) ✅</t>
  </si>
  <si>
    <t xml:space="preserve">Gujarat | Present &gt;&gt; Last Year → more hydro energy available</t>
  </si>
  <si>
    <t xml:space="preserve">UKAI (Reservoir) ✅</t>
  </si>
  <si>
    <t xml:space="preserve">Gujarat | Present ≈ Last Year</t>
  </si>
  <si>
    <t xml:space="preserve">KADANA (Reservoir) ✅</t>
  </si>
  <si>
    <t xml:space="preserve">Gujarat | Present &gt; Last Year → more energy available</t>
  </si>
  <si>
    <t xml:space="preserve">INDIRASAGAR (MP)</t>
  </si>
  <si>
    <t xml:space="preserve">MP – for WR context</t>
  </si>
  <si>
    <t xml:space="preserve">OMKARESHWAR (MP)</t>
  </si>
  <si>
    <t xml:space="preserve">KOYNA (Maharashtra)</t>
  </si>
  <si>
    <t xml:space="preserve">Maharashtra – for WR context</t>
  </si>
  <si>
    <t xml:space="preserve">TATA BHIRA (Mah)</t>
  </si>
  <si>
    <t xml:space="preserve">WR INTER-REGIONAL EXCHANGE &amp; GUJARAT SCHEDULE  |  Source: WRLDC PSP 30-May-2026</t>
  </si>
  <si>
    <t xml:space="preserve">A. STATE-WISE DAY ENERGY SCHEDULE (Section 4B) — Gujarat row in green</t>
  </si>
  <si>
    <t xml:space="preserve">ISGS+GNA
Schedule (MU)</t>
  </si>
  <si>
    <t xml:space="preserve">T-GNA
Bilateral (MU)</t>
  </si>
  <si>
    <t xml:space="preserve">GDAM
(MU)</t>
  </si>
  <si>
    <t xml:space="preserve">DAM
(MU)</t>
  </si>
  <si>
    <t xml:space="preserve">RTM
(MU)</t>
  </si>
  <si>
    <t xml:space="preserve">Total
Schedule (MU)</t>
  </si>
  <si>
    <t xml:space="preserve">AMNSIL</t>
  </si>
  <si>
    <t xml:space="preserve">BALCO</t>
  </si>
  <si>
    <t xml:space="preserve">CHHATTISGARH</t>
  </si>
  <si>
    <t xml:space="preserve">Net exporter</t>
  </si>
  <si>
    <t xml:space="preserve">DNHDDPDCL</t>
  </si>
  <si>
    <t xml:space="preserve">GOA</t>
  </si>
  <si>
    <t xml:space="preserve">GUJARAT ✅</t>
  </si>
  <si>
    <t xml:space="preserve">Total drawal from all market segments</t>
  </si>
  <si>
    <t xml:space="preserve">MADHYA PRADESH</t>
  </si>
  <si>
    <t xml:space="preserve">MAHARASHTRA</t>
  </si>
  <si>
    <t xml:space="preserve">RIL JAMNAGAR</t>
  </si>
  <si>
    <t xml:space="preserve">TOTAL (WR)</t>
  </si>
  <si>
    <t xml:space="preserve">B. WR TOTAL NET INTER-REGIONAL EXPORT (30-May-2026):  WR→ER: -17.21 MU  |  WR→NR: -149.01 MU  |  WR→SR: -87.40 MU  |  TOTAL NET: -253.62 MU  (WR is net exporter)</t>
  </si>
  <si>
    <t xml:space="preserve">C. FREQUENCY PROFILE (WR 30-May-2026)</t>
  </si>
  <si>
    <t xml:space="preserve">Value</t>
  </si>
  <si>
    <t xml:space="preserve">Maximum Frequency</t>
  </si>
  <si>
    <t xml:space="preserve">50.30 Hz</t>
  </si>
  <si>
    <t xml:space="preserve">Time: 08:43</t>
  </si>
  <si>
    <t xml:space="preserve">Minimum Frequency</t>
  </si>
  <si>
    <t xml:space="preserve">49.73 Hz</t>
  </si>
  <si>
    <t xml:space="preserve">Time: 22:36</t>
  </si>
  <si>
    <t xml:space="preserve">Average Frequency</t>
  </si>
  <si>
    <t xml:space="preserve">50.00 Hz</t>
  </si>
  <si>
    <t xml:space="preserve">Within IEGC nominal</t>
  </si>
  <si>
    <t xml:space="preserve">% Time outside IEGC Band</t>
  </si>
  <si>
    <t xml:space="preserve">23.8%</t>
  </si>
  <si>
    <t xml:space="preserve">⚠️ Significant — 5.71 hrs outside band</t>
  </si>
  <si>
    <t xml:space="preserve">Freq Variation Index</t>
  </si>
  <si>
    <t xml:space="preserve">0.068</t>
  </si>
  <si>
    <t xml:space="preserve">Standard deviation</t>
  </si>
  <si>
    <t xml:space="preserve">Max in 15-min block</t>
  </si>
  <si>
    <t xml:space="preserve">50.28 Hz</t>
  </si>
  <si>
    <t xml:space="preserve">Min in 15-min block</t>
  </si>
  <si>
    <t xml:space="preserve">49.82 Hz</t>
  </si>
  <si>
    <t xml:space="preserve">GUJARAT TRANSMISSION NETWORK TOPOLOGY  |  Source: GETCO Power Map 01-Sep-2023  |  ⚠️ Topology only — impedance/MVA limits require GETCO network data</t>
  </si>
  <si>
    <t xml:space="preserve">NOTE: Bus names, voltage levels, zones and connectivity extracted visually from GETCO Power Map. R/X impedance values and thermal limits (MVA) are NOT available from this map and must be obtained from GETCO Network Planning. This sheet establishes the bus list and zonal topology for the GAMS model.</t>
  </si>
  <si>
    <t xml:space="preserve">A. BUS / SUBSTATION LIST — Identified from GETCO Power Map (01-Sep-2023)</t>
  </si>
  <si>
    <t xml:space="preserve">Substation / Bus Name</t>
  </si>
  <si>
    <t xml:space="preserve">Voltage Level(s)</t>
  </si>
  <si>
    <t xml:space="preserve">Zone / Region</t>
  </si>
  <si>
    <t xml:space="preserve">District</t>
  </si>
  <si>
    <t xml:space="preserve">Connected Generators</t>
  </si>
  <si>
    <t xml:space="preserve">Bus Type (Gen/Load/Trans)</t>
  </si>
  <si>
    <t xml:space="preserve">Coordinates (Approx)</t>
  </si>
  <si>
    <t xml:space="preserve">MUNDRA (Tata UMPP / Adani)</t>
  </si>
  <si>
    <t xml:space="preserve">400kV</t>
  </si>
  <si>
    <t xml:space="preserve">Kutch</t>
  </si>
  <si>
    <t xml:space="preserve">APL Mundra, CGPL Mundra UMPP</t>
  </si>
  <si>
    <t xml:space="preserve">Generator</t>
  </si>
  <si>
    <t xml:space="preserve">23.0N, 69.7E</t>
  </si>
  <si>
    <t xml:space="preserve">Power Map</t>
  </si>
  <si>
    <t xml:space="preserve">HVDC bipole terminal; major export bus</t>
  </si>
  <si>
    <t xml:space="preserve">BHIMASAR</t>
  </si>
  <si>
    <t xml:space="preserve">400kV, 220kV</t>
  </si>
  <si>
    <t xml:space="preserve">Transmission</t>
  </si>
  <si>
    <t xml:space="preserve">23.1N, 69.8E</t>
  </si>
  <si>
    <t xml:space="preserve">Key 400kV switching hub in Kutch</t>
  </si>
  <si>
    <t xml:space="preserve">VADINAR (ESSAR)</t>
  </si>
  <si>
    <t xml:space="preserve">220kV</t>
  </si>
  <si>
    <t xml:space="preserve">EPGL (Essar Power)</t>
  </si>
  <si>
    <t xml:space="preserve">22.5N, 69.8E</t>
  </si>
  <si>
    <t xml:space="preserve">AKRIMOTA / PANANDHRO</t>
  </si>
  <si>
    <t xml:space="preserve">Akrimota Lignite TPS</t>
  </si>
  <si>
    <t xml:space="preserve">23.6N, 68.9E</t>
  </si>
  <si>
    <t xml:space="preserve">BECL plant</t>
  </si>
  <si>
    <t xml:space="preserve">KHAVDA-1 (PSTS)</t>
  </si>
  <si>
    <t xml:space="preserve">765kV, 400kV</t>
  </si>
  <si>
    <t xml:space="preserve">Large RE solar park</t>
  </si>
  <si>
    <t xml:space="preserve">23.8N, 69.6E</t>
  </si>
  <si>
    <t xml:space="preserve">New 765kV hub for RE evacuation</t>
  </si>
  <si>
    <t xml:space="preserve">KHAVDA-2 (PSTS)</t>
  </si>
  <si>
    <t xml:space="preserve">765kV</t>
  </si>
  <si>
    <t xml:space="preserve">RE Solar Park</t>
  </si>
  <si>
    <t xml:space="preserve">23.7N, 69.7E</t>
  </si>
  <si>
    <t xml:space="preserve">Proposed/new RE bus</t>
  </si>
  <si>
    <t xml:space="preserve">CHARANKA SOLAR PARK</t>
  </si>
  <si>
    <t xml:space="preserve">Kutch/Patan</t>
  </si>
  <si>
    <t xml:space="preserve">Patan</t>
  </si>
  <si>
    <t xml:space="preserve">Charanka Solar (GSECL)</t>
  </si>
  <si>
    <t xml:space="preserve">23.9N, 71.2E</t>
  </si>
  <si>
    <t xml:space="preserve">Large solar park</t>
  </si>
  <si>
    <t xml:space="preserve">VANSANA</t>
  </si>
  <si>
    <t xml:space="preserve">Wind farms</t>
  </si>
  <si>
    <t xml:space="preserve">23.0N, 70.2E</t>
  </si>
  <si>
    <t xml:space="preserve">BHUJ (PGCIL)</t>
  </si>
  <si>
    <t xml:space="preserve">23.3N, 69.7E</t>
  </si>
  <si>
    <t xml:space="preserve">Inter-regional bus</t>
  </si>
  <si>
    <t xml:space="preserve">DHOLERA</t>
  </si>
  <si>
    <t xml:space="preserve">Ahmedabad</t>
  </si>
  <si>
    <t xml:space="preserve">22.2N, 72.2E</t>
  </si>
  <si>
    <t xml:space="preserve">Saurashtra</t>
  </si>
  <si>
    <t xml:space="preserve">Jamnagar</t>
  </si>
  <si>
    <t xml:space="preserve">Sikka TPS (GSECL)</t>
  </si>
  <si>
    <t xml:space="preserve">22.4N, 69.9E</t>
  </si>
  <si>
    <t xml:space="preserve">RAJKOT</t>
  </si>
  <si>
    <t xml:space="preserve">Rajkot</t>
  </si>
  <si>
    <t xml:space="preserve">Load/Trans</t>
  </si>
  <si>
    <t xml:space="preserve">22.3N, 70.8E</t>
  </si>
  <si>
    <t xml:space="preserve">Major load bus</t>
  </si>
  <si>
    <t xml:space="preserve">JETPUR</t>
  </si>
  <si>
    <t xml:space="preserve">21.7N, 70.6E</t>
  </si>
  <si>
    <t xml:space="preserve">400kV hub</t>
  </si>
  <si>
    <t xml:space="preserve">AMRELI</t>
  </si>
  <si>
    <t xml:space="preserve">Amreli</t>
  </si>
  <si>
    <t xml:space="preserve">21.6N, 71.2E</t>
  </si>
  <si>
    <t xml:space="preserve">JUNAGADH</t>
  </si>
  <si>
    <t xml:space="preserve">Junagadh</t>
  </si>
  <si>
    <t xml:space="preserve">21.5N, 70.5E</t>
  </si>
  <si>
    <t xml:space="preserve">PIPAVAV (GSPC)</t>
  </si>
  <si>
    <t xml:space="preserve">GSPC Pipavav CLPI</t>
  </si>
  <si>
    <t xml:space="preserve">20.9N, 71.5E</t>
  </si>
  <si>
    <t xml:space="preserve">Gas plant</t>
  </si>
  <si>
    <t xml:space="preserve">BHAVNAGAR</t>
  </si>
  <si>
    <t xml:space="preserve">Bhavnagar</t>
  </si>
  <si>
    <t xml:space="preserve">21.8N, 72.2E</t>
  </si>
  <si>
    <t xml:space="preserve">JAMNAGAR</t>
  </si>
  <si>
    <t xml:space="preserve">22.5N, 70.1E</t>
  </si>
  <si>
    <t xml:space="preserve">MORBI</t>
  </si>
  <si>
    <t xml:space="preserve">Morbi</t>
  </si>
  <si>
    <t xml:space="preserve">22.8N, 70.8E</t>
  </si>
  <si>
    <t xml:space="preserve">WANKANER</t>
  </si>
  <si>
    <t xml:space="preserve">22.6N, 71.0E</t>
  </si>
  <si>
    <t xml:space="preserve">HALVAD</t>
  </si>
  <si>
    <t xml:space="preserve">23.0N, 71.2E</t>
  </si>
  <si>
    <t xml:space="preserve">Wind evacuation</t>
  </si>
  <si>
    <t xml:space="preserve">KANSARI (NERDA)</t>
  </si>
  <si>
    <t xml:space="preserve">North Gujarat</t>
  </si>
  <si>
    <t xml:space="preserve">Banaskantha</t>
  </si>
  <si>
    <t xml:space="preserve">24.1N, 72.4E</t>
  </si>
  <si>
    <t xml:space="preserve">765kV WR–NR interchange point</t>
  </si>
  <si>
    <t xml:space="preserve">BANASKANTHA</t>
  </si>
  <si>
    <t xml:space="preserve">24.2N, 72.0E</t>
  </si>
  <si>
    <t xml:space="preserve">MEHSANA</t>
  </si>
  <si>
    <t xml:space="preserve">Mehsana</t>
  </si>
  <si>
    <t xml:space="preserve">23.6N, 72.4E</t>
  </si>
  <si>
    <t xml:space="preserve">PATAN</t>
  </si>
  <si>
    <t xml:space="preserve">23.9N, 72.1E</t>
  </si>
  <si>
    <t xml:space="preserve">SIDDHPUR</t>
  </si>
  <si>
    <t xml:space="preserve">23.9N, 72.4E</t>
  </si>
  <si>
    <t xml:space="preserve">SABARKANTHA</t>
  </si>
  <si>
    <t xml:space="preserve">Sabarkantha</t>
  </si>
  <si>
    <t xml:space="preserve">23.6N, 73.0E</t>
  </si>
  <si>
    <t xml:space="preserve">MAHISAGAR / MODASA</t>
  </si>
  <si>
    <t xml:space="preserve">Mahisagar</t>
  </si>
  <si>
    <t xml:space="preserve">23.5N, 73.3E</t>
  </si>
  <si>
    <t xml:space="preserve">GANDHINAGAR (GTPS)</t>
  </si>
  <si>
    <t xml:space="preserve">Gandhinagar</t>
  </si>
  <si>
    <t xml:space="preserve">Gandhinagar TPS (GSECL)</t>
  </si>
  <si>
    <t xml:space="preserve">23.2N, 72.7E</t>
  </si>
  <si>
    <t xml:space="preserve">State capital; major gen bus</t>
  </si>
  <si>
    <t xml:space="preserve">DEHGAM</t>
  </si>
  <si>
    <t xml:space="preserve">23.3N, 73.0E</t>
  </si>
  <si>
    <t xml:space="preserve">400kV hub; connects to PGCIL</t>
  </si>
  <si>
    <t xml:space="preserve">RANASAN</t>
  </si>
  <si>
    <t xml:space="preserve">23.4N, 72.6E</t>
  </si>
  <si>
    <t xml:space="preserve">RANA (PGCIL)</t>
  </si>
  <si>
    <t xml:space="preserve">23.2N, 72.6E</t>
  </si>
  <si>
    <t xml:space="preserve">Inter-regional 765kV hub</t>
  </si>
  <si>
    <t xml:space="preserve">Kheda</t>
  </si>
  <si>
    <t xml:space="preserve">Wanakbori TPS (GSECL)</t>
  </si>
  <si>
    <t xml:space="preserve">22.9N, 73.2E</t>
  </si>
  <si>
    <t xml:space="preserve">7+1 units; major coal gen</t>
  </si>
  <si>
    <t xml:space="preserve">KADANA</t>
  </si>
  <si>
    <t xml:space="preserve">Kadana Hydro</t>
  </si>
  <si>
    <t xml:space="preserve">23.3N, 73.7E</t>
  </si>
  <si>
    <t xml:space="preserve">ANAND</t>
  </si>
  <si>
    <t xml:space="preserve">Anand</t>
  </si>
  <si>
    <t xml:space="preserve">22.6N, 72.9E</t>
  </si>
  <si>
    <t xml:space="preserve">VADODARA (PGCIL)</t>
  </si>
  <si>
    <t xml:space="preserve">East Gujarat</t>
  </si>
  <si>
    <t xml:space="preserve">Vadodara</t>
  </si>
  <si>
    <t xml:space="preserve">22.3N, 73.2E</t>
  </si>
  <si>
    <t xml:space="preserve">SLDC located here; key hub</t>
  </si>
  <si>
    <t xml:space="preserve">KASOR</t>
  </si>
  <si>
    <t xml:space="preserve">22.3N, 73.1E</t>
  </si>
  <si>
    <t xml:space="preserve">PANCHMAHAL</t>
  </si>
  <si>
    <t xml:space="preserve">Panchmahal</t>
  </si>
  <si>
    <t xml:space="preserve">22.8N, 73.6E</t>
  </si>
  <si>
    <t xml:space="preserve">GODHRA</t>
  </si>
  <si>
    <t xml:space="preserve">UKAI</t>
  </si>
  <si>
    <t xml:space="preserve">South Gujarat</t>
  </si>
  <si>
    <t xml:space="preserve">Tapi</t>
  </si>
  <si>
    <t xml:space="preserve">Ukai TPS + Hydro (GSECL)</t>
  </si>
  <si>
    <t xml:space="preserve">21.3N, 73.6E</t>
  </si>
  <si>
    <t xml:space="preserve">Both thermal and hydro</t>
  </si>
  <si>
    <t xml:space="preserve">SURAT (PGCIL)</t>
  </si>
  <si>
    <t xml:space="preserve">Surat</t>
  </si>
  <si>
    <t xml:space="preserve">21.2N, 72.8E</t>
  </si>
  <si>
    <t xml:space="preserve">Major 400kV hub</t>
  </si>
  <si>
    <t xml:space="preserve">NAVSARI</t>
  </si>
  <si>
    <t xml:space="preserve">Navsari</t>
  </si>
  <si>
    <t xml:space="preserve">20.9N, 73.0E</t>
  </si>
  <si>
    <t xml:space="preserve">VALSAD</t>
  </si>
  <si>
    <t xml:space="preserve">Valsad</t>
  </si>
  <si>
    <t xml:space="preserve">20.6N, 73.0E</t>
  </si>
  <si>
    <t xml:space="preserve">To Maharashtra border</t>
  </si>
  <si>
    <t xml:space="preserve">HAZIRA</t>
  </si>
  <si>
    <t xml:space="preserve">Essar/ONGC Gas</t>
  </si>
  <si>
    <t xml:space="preserve">Generator/Trans</t>
  </si>
  <si>
    <t xml:space="preserve">21.1N, 72.6E</t>
  </si>
  <si>
    <t xml:space="preserve">Industrial hub</t>
  </si>
  <si>
    <t xml:space="preserve">BHARUCH</t>
  </si>
  <si>
    <t xml:space="preserve">Bharuch</t>
  </si>
  <si>
    <t xml:space="preserve">21.7N, 73.0E</t>
  </si>
  <si>
    <t xml:space="preserve">DHUVARAN (DGBPS)</t>
  </si>
  <si>
    <t xml:space="preserve">Dhuvaran CCPP (GSECL)</t>
  </si>
  <si>
    <t xml:space="preserve">22.3N, 73.0E</t>
  </si>
  <si>
    <t xml:space="preserve">UTRAN (UGPP)</t>
  </si>
  <si>
    <t xml:space="preserve">Utran CCPP (GSECL)</t>
  </si>
  <si>
    <t xml:space="preserve">21.2N, 72.9E</t>
  </si>
  <si>
    <t xml:space="preserve">SUGEN / UNOSUGEN</t>
  </si>
  <si>
    <t xml:space="preserve">Sugen CCPP (Torrent)</t>
  </si>
  <si>
    <t xml:space="preserve">21.3N, 72.8E</t>
  </si>
  <si>
    <t xml:space="preserve">1148+383 MW gas</t>
  </si>
  <si>
    <t xml:space="preserve">KAWAS (NTPC)</t>
  </si>
  <si>
    <t xml:space="preserve">Kawas Gas (NTPC)</t>
  </si>
  <si>
    <t xml:space="preserve">21.3N, 72.9E</t>
  </si>
  <si>
    <t xml:space="preserve">Central sector gas</t>
  </si>
  <si>
    <t xml:space="preserve">JHANOR / GANDHAR (NTPC)</t>
  </si>
  <si>
    <t xml:space="preserve">Jhanor-JGPS (NTPC)</t>
  </si>
  <si>
    <t xml:space="preserve">21.9N, 73.1E</t>
  </si>
  <si>
    <t xml:space="preserve">GUJARAT TRANSMISSION LINES  |  Source: GETCO Power Map 01-Sep-2023  |  ⚠️ Connectivity identified; R/X/B and MVA limits require GETCO network data</t>
  </si>
  <si>
    <t xml:space="preserve">LEGEND from map: Red=400kV | Green=220kV | Blue=132kV | Grey/Black=765kV | Purple=HVDC Bipole | Dashed=Proposed. Thermal limits (MVA), impedances (R/X/B) marked as UNKNOWN — must be sourced from GETCO. Approximate lengths estimated from map scale.</t>
  </si>
  <si>
    <t xml:space="preserve">B. TRANSMISSION LINE LIST — From/To connectivity extracted from GETCO Power Map</t>
  </si>
  <si>
    <t xml:space="preserve">From Bus</t>
  </si>
  <si>
    <t xml:space="preserve">To Bus</t>
  </si>
  <si>
    <t xml:space="preserve">Voltage
(kV)</t>
  </si>
  <si>
    <t xml:space="preserve">Approx
Length (km)</t>
  </si>
  <si>
    <t xml:space="preserve">No. of
Circuits</t>
  </si>
  <si>
    <t xml:space="preserve">R (pu)
⚠️ Unknown</t>
  </si>
  <si>
    <t xml:space="preserve">X (pu)
⚠️ Unknown</t>
  </si>
  <si>
    <t xml:space="preserve">Smax (MVA)
⚠️ Unknown</t>
  </si>
  <si>
    <t xml:space="preserve">Zone / Corridor</t>
  </si>
  <si>
    <t xml:space="preserve">UNKNOWN</t>
  </si>
  <si>
    <t xml:space="preserve">WR-NR interface</t>
  </si>
  <si>
    <t xml:space="preserve">765kV WR–NR tie; key inter-regional corridor</t>
  </si>
  <si>
    <t xml:space="preserve">New 765kV RE evacuation</t>
  </si>
  <si>
    <t xml:space="preserve">Kutch RE</t>
  </si>
  <si>
    <t xml:space="preserve">RE evacuation 765kV</t>
  </si>
  <si>
    <t xml:space="preserve">KANSARI</t>
  </si>
  <si>
    <t xml:space="preserve">Kutch→North Guj</t>
  </si>
  <si>
    <t xml:space="preserve">RE bulk transfer</t>
  </si>
  <si>
    <t xml:space="preserve">VADODARA</t>
  </si>
  <si>
    <t xml:space="preserve">Central Gujarat</t>
  </si>
  <si>
    <t xml:space="preserve">765kV backbone</t>
  </si>
  <si>
    <t xml:space="preserve">MUNDRA (HVDC)</t>
  </si>
  <si>
    <t xml:space="preserve">MOHINDARGARH (NR)</t>
  </si>
  <si>
    <t xml:space="preserve">1500</t>
  </si>
  <si>
    <t xml:space="preserve">Kutch→NR HVDC</t>
  </si>
  <si>
    <t xml:space="preserve">HVDC bipole; 1,500 MW capacity</t>
  </si>
  <si>
    <t xml:space="preserve">Key 400kV Kutch bus</t>
  </si>
  <si>
    <t xml:space="preserve">MUNDRA</t>
  </si>
  <si>
    <t xml:space="preserve">Adani/Tata gen to grid</t>
  </si>
  <si>
    <t xml:space="preserve">Kutch→Saurashtra</t>
  </si>
  <si>
    <t xml:space="preserve">Wind evacuation corridor</t>
  </si>
  <si>
    <t xml:space="preserve">SURENDRANAGAR</t>
  </si>
  <si>
    <t xml:space="preserve">Saurashtra→Central</t>
  </si>
  <si>
    <t xml:space="preserve">RANA</t>
  </si>
  <si>
    <t xml:space="preserve">Central→South</t>
  </si>
  <si>
    <t xml:space="preserve">Main south corridor</t>
  </si>
  <si>
    <t xml:space="preserve">SURAT</t>
  </si>
  <si>
    <t xml:space="preserve">To Maharashtra</t>
  </si>
  <si>
    <t xml:space="preserve">BHIMASAR_220</t>
  </si>
  <si>
    <t xml:space="preserve">220/400 transformer bus</t>
  </si>
  <si>
    <t xml:space="preserve">Lignite plant evacuation</t>
  </si>
  <si>
    <t xml:space="preserve">VADINAR</t>
  </si>
  <si>
    <t xml:space="preserve">Essar to Sikka</t>
  </si>
  <si>
    <t xml:space="preserve">GONDAL</t>
  </si>
  <si>
    <t xml:space="preserve">PIPAVAV</t>
  </si>
  <si>
    <t xml:space="preserve">Gas plant connection</t>
  </si>
  <si>
    <t xml:space="preserve">North→Central</t>
  </si>
  <si>
    <t xml:space="preserve">CHARANKA</t>
  </si>
  <si>
    <t xml:space="preserve">Solar evacuation</t>
  </si>
  <si>
    <t xml:space="preserve">Heavy generation corridor</t>
  </si>
  <si>
    <t xml:space="preserve">Main thermal corridor</t>
  </si>
  <si>
    <t xml:space="preserve">Essar/gas plant to Surat</t>
  </si>
  <si>
    <t xml:space="preserve">KAWAS</t>
  </si>
  <si>
    <t xml:space="preserve">NTPC gas</t>
  </si>
  <si>
    <t xml:space="preserve">JHANOR</t>
  </si>
  <si>
    <t xml:space="preserve">UTRAN</t>
  </si>
  <si>
    <t xml:space="preserve">SUGEN</t>
  </si>
  <si>
    <t xml:space="preserve">DHUVARAN</t>
  </si>
  <si>
    <t xml:space="preserve">CHITTORGARH (NR)</t>
  </si>
  <si>
    <t xml:space="preserve">WR–NR</t>
  </si>
  <si>
    <t xml:space="preserve">765kV NR border</t>
  </si>
  <si>
    <t xml:space="preserve">INDORE (WR-PGCIL)</t>
  </si>
  <si>
    <t xml:space="preserve">WR backbone</t>
  </si>
  <si>
    <t xml:space="preserve">To MP/NR</t>
  </si>
  <si>
    <t xml:space="preserve">MUMBAI (PGCIL)</t>
  </si>
  <si>
    <t xml:space="preserve">WR–SR border</t>
  </si>
  <si>
    <t xml:space="preserve">To Maharashtra/Mumbai</t>
  </si>
  <si>
    <t xml:space="preserve">NAGDA (MP)</t>
  </si>
  <si>
    <t xml:space="preserve">East Gujarat–MP</t>
  </si>
  <si>
    <t xml:space="preserve">To MP border</t>
  </si>
  <si>
    <t xml:space="preserve">GUJARAT ZONAL MODEL FOR GAMS  |  Source: Derived from GETCO Power Map + Installed Capacity  |  Date: 01-Sep-2023 (Map) / 31-Dec-2025 (Capacity)</t>
  </si>
  <si>
    <t xml:space="preserve">This sheet defines the zonal/corridor model for GAMS SCED/SCUC. Since full nodal network data is unavailable, Gujarat is modelled as 5 zones with inter-zonal transfer limits (corridors). Generators and loads are aggregated by zone.</t>
  </si>
  <si>
    <t xml:space="preserve">A. ZONE DEFINITIONS</t>
  </si>
  <si>
    <t xml:space="preserve">Zone ID</t>
  </si>
  <si>
    <t xml:space="preserve">Zone Name</t>
  </si>
  <si>
    <t xml:space="preserve">Key Substations</t>
  </si>
  <si>
    <t xml:space="preserve">District Coverage</t>
  </si>
  <si>
    <t xml:space="preserve">Installed Gen Capacity (MW)</t>
  </si>
  <si>
    <t xml:space="preserve">RE Capacity (MW)</t>
  </si>
  <si>
    <t xml:space="preserve">Key Load Centres</t>
  </si>
  <si>
    <t xml:space="preserve">Congestion Issue</t>
  </si>
  <si>
    <t xml:space="preserve">GAMS Set Name</t>
  </si>
  <si>
    <t xml:space="preserve">Z1</t>
  </si>
  <si>
    <t xml:space="preserve">Mundra, Bhimasar, Bhuj, Khavda, Vansana, Vadinar, Akrimota</t>
  </si>
  <si>
    <t xml:space="preserve">Kutch district</t>
  </si>
  <si>
    <t xml:space="preserve">APL Mundra 2,640 + CGPL 1,805 + EPGL 1,200 + Akrimota 250 + Panandhro 150 = ~6,045</t>
  </si>
  <si>
    <t xml:space="preserve">Wind ~4,500 + Solar ~3,000</t>
  </si>
  <si>
    <t xml:space="preserve">Bhuj, Gandhidham</t>
  </si>
  <si>
    <t xml:space="preserve">HIGH – Generation &gt;&gt; local load; must export via 400kV/765kV/HVDC</t>
  </si>
  <si>
    <t xml:space="preserve">KUTCH</t>
  </si>
  <si>
    <t xml:space="preserve">Z2</t>
  </si>
  <si>
    <t xml:space="preserve">Jetpur, Rajkot, Amreli, Bhavnagar, Sikka, Pipavav, Morbi, Jamnagar</t>
  </si>
  <si>
    <t xml:space="preserve">Jamnagar, Rajkot, Amreli, Bhavnagar, Junagadh, Porbandar, Morbi, Dwarka</t>
  </si>
  <si>
    <t xml:space="preserve">Sikka 500 + GSPC Pipavav 703 = ~1,203</t>
  </si>
  <si>
    <t xml:space="preserve">Wind ~3,500 + Solar ~1,500</t>
  </si>
  <si>
    <t xml:space="preserve">Rajkot, Bhavnagar, Jamnagar</t>
  </si>
  <si>
    <t xml:space="preserve">MEDIUM – RE surplus in west Saurashtra; load centres in east</t>
  </si>
  <si>
    <t xml:space="preserve">SAURASHTRA</t>
  </si>
  <si>
    <t xml:space="preserve">Z3</t>
  </si>
  <si>
    <t xml:space="preserve">Banaskantha, Mehsana, Patan, Charanka, Kansari, Sabarkantha</t>
  </si>
  <si>
    <t xml:space="preserve">Banaskantha, Mehsana, Patan, Sabarkantha, Mahisagar</t>
  </si>
  <si>
    <t xml:space="preserve">Minimal thermal</t>
  </si>
  <si>
    <t xml:space="preserve">Solar ~5,000 (Charanka + Raghanesda)</t>
  </si>
  <si>
    <t xml:space="preserve">Mehsana, Palanpur</t>
  </si>
  <si>
    <t xml:space="preserve">HIGH – Solar export zone; 765kV evacuation corridor critical</t>
  </si>
  <si>
    <t xml:space="preserve">N_GUJ</t>
  </si>
  <si>
    <t xml:space="preserve">Z4</t>
  </si>
  <si>
    <t xml:space="preserve">Gandhinagar, Ranasan, Dehgam, Wanakbori, Kadana, Anand, Rana</t>
  </si>
  <si>
    <t xml:space="preserve">Gandhinagar, Kheda, Anand, Panchmahal, Dahod</t>
  </si>
  <si>
    <t xml:space="preserve">Gandhinagar 630 + Wanakbori 2,270 + Kadana Hy 242 = ~3,142</t>
  </si>
  <si>
    <t xml:space="preserve">Solar ~2,000</t>
  </si>
  <si>
    <t xml:space="preserve">Ahmedabad, Gandhinagar, Anand, Nadiad</t>
  </si>
  <si>
    <t xml:space="preserve">MEDIUM – Major thermal zone; also receives from Kutch/North via 400kV</t>
  </si>
  <si>
    <t xml:space="preserve">CENTRAL</t>
  </si>
  <si>
    <t xml:space="preserve">Z5</t>
  </si>
  <si>
    <t xml:space="preserve">Ukai, Surat, Bharuch, Hazira, Kawas, Jhanor, Utran, Sugen, Navsari, Valsad</t>
  </si>
  <si>
    <t xml:space="preserve">Surat, Bharuch, Narmada, Tapi, Navsari, Valsad, Dang</t>
  </si>
  <si>
    <t xml:space="preserve">Ukai TPS 1,110 + Ukai Hy 305 + Dhuvaran 595 + Utran 375 + Sugen 1,148 + Unosugen 383 + Kawas 656 + Jhanor 657 = ~5,229</t>
  </si>
  <si>
    <t xml:space="preserve">Surat (major), Bharuch, Vapi, Valsad</t>
  </si>
  <si>
    <t xml:space="preserve">LOW–MEDIUM – Large thermal + gas base; exporter to Maharashtra via Valsad 400kV</t>
  </si>
  <si>
    <t xml:space="preserve">S_GUJ</t>
  </si>
  <si>
    <t xml:space="preserve">B. INTER-ZONAL CORRIDORS (for GAMS transfer limits)</t>
  </si>
  <si>
    <t xml:space="preserve">Corridor ID</t>
  </si>
  <si>
    <t xml:space="preserve">From Zone</t>
  </si>
  <si>
    <t xml:space="preserve">To Zone</t>
  </si>
  <si>
    <t xml:space="preserve">Voltage</t>
  </si>
  <si>
    <t xml:space="preserve">Key Lines</t>
  </si>
  <si>
    <t xml:space="preserve">Transfer Limit (MW)
⚠️ Indicative</t>
  </si>
  <si>
    <t xml:space="preserve">Direction</t>
  </si>
  <si>
    <t xml:space="preserve">C1-Z1→Z4</t>
  </si>
  <si>
    <t xml:space="preserve">Z1 Kutch</t>
  </si>
  <si>
    <t xml:space="preserve">Z4 Central</t>
  </si>
  <si>
    <t xml:space="preserve">400kV AC</t>
  </si>
  <si>
    <t xml:space="preserve">Bhimasar→Halvad→Surendranagar→Ranasan</t>
  </si>
  <si>
    <t xml:space="preserve">~2,000–3,000</t>
  </si>
  <si>
    <t xml:space="preserve">Both</t>
  </si>
  <si>
    <t xml:space="preserve">Power Map + WRLDC ATC</t>
  </si>
  <si>
    <t xml:space="preserve">Main AC evacuation from Kutch</t>
  </si>
  <si>
    <t xml:space="preserve">C2-Z1→EXT</t>
  </si>
  <si>
    <t xml:space="preserve">NR (External)</t>
  </si>
  <si>
    <t xml:space="preserve">500kV HVDC</t>
  </si>
  <si>
    <t xml:space="preserve">Mundra HVDC Bipole to Mohindargarh</t>
  </si>
  <si>
    <t xml:space="preserve">1,500</t>
  </si>
  <si>
    <t xml:space="preserve">Export only</t>
  </si>
  <si>
    <t xml:space="preserve">Fixed HVDC schedule; not a GAMS variable</t>
  </si>
  <si>
    <t xml:space="preserve">C3-Z1→Z2</t>
  </si>
  <si>
    <t xml:space="preserve">Z2 Saurashtra</t>
  </si>
  <si>
    <t xml:space="preserve">Vansana→Sikka→Jamnagar</t>
  </si>
  <si>
    <t xml:space="preserve">~800–1,200</t>
  </si>
  <si>
    <t xml:space="preserve">Wind farm evacuation</t>
  </si>
  <si>
    <t xml:space="preserve">C4-Z3→Z4</t>
  </si>
  <si>
    <t xml:space="preserve">Z3 North</t>
  </si>
  <si>
    <t xml:space="preserve">765kV+220kV</t>
  </si>
  <si>
    <t xml:space="preserve">Kansari→Rana→Ranasan; Mehsana→Gandhinagar</t>
  </si>
  <si>
    <t xml:space="preserve">~1,500–2,000</t>
  </si>
  <si>
    <t xml:space="preserve">Solar evacuation + NR interchange</t>
  </si>
  <si>
    <t xml:space="preserve">C5-Z2→Z4</t>
  </si>
  <si>
    <t xml:space="preserve">Surendranagar→Ranasan</t>
  </si>
  <si>
    <t xml:space="preserve">~1,000–1,500</t>
  </si>
  <si>
    <t xml:space="preserve">Saurashtra to central load</t>
  </si>
  <si>
    <t xml:space="preserve">C6-Z4→Z5</t>
  </si>
  <si>
    <t xml:space="preserve">Z5 South</t>
  </si>
  <si>
    <t xml:space="preserve">220kV+400kV</t>
  </si>
  <si>
    <t xml:space="preserve">Wanakbori→Vadodara→Kasor→Surat</t>
  </si>
  <si>
    <t xml:space="preserve">Heaviest corridor in state</t>
  </si>
  <si>
    <t xml:space="preserve">C7-Z5→MH</t>
  </si>
  <si>
    <t xml:space="preserve">Valsad→Mumbai (PGCIL); Surat→BOISAR</t>
  </si>
  <si>
    <t xml:space="preserve">WRLDC PSP</t>
  </si>
  <si>
    <t xml:space="preserve">WR–SR boundary</t>
  </si>
  <si>
    <t xml:space="preserve">C8-Z4→MP</t>
  </si>
  <si>
    <t xml:space="preserve">MP (WR)</t>
  </si>
  <si>
    <t xml:space="preserve">Godhra→Nagda; Vadodara→Indore</t>
  </si>
  <si>
    <t xml:space="preserve">~500–800</t>
  </si>
  <si>
    <t xml:space="preserve">East Gujarat to MP/WR</t>
  </si>
  <si>
    <t xml:space="preserve">C9-Z3→RJ</t>
  </si>
  <si>
    <t xml:space="preserve">Z3 North Gujarat</t>
  </si>
  <si>
    <t xml:space="preserve">Kansari→Chittorgarh (NR)</t>
  </si>
  <si>
    <t xml:space="preserve">~1,500</t>
  </si>
  <si>
    <t xml:space="preserve">NR–WR 765kV tie</t>
  </si>
  <si>
    <t xml:space="preserve">CEA OPERATION NORMS — THERMAL POWER STATIONS  |  Source: CEA Recommendations for CERC Tariff 2024-29  |  Published: 2024</t>
  </si>
  <si>
    <t xml:space="preserve">Source: CEA Recommendation on Operation Norms (filed with CERC for Tariff Period 2024-29). These are normative values used for tariff determination and GAMS model parameterisation. Station Heat Rate = Gross Station Heat Rate (kcal/kWh). Forced Outage Rate (FOR) = equivalent forced outage rate. Values apply to Gujarat plants unless station-specific data available.</t>
  </si>
  <si>
    <t xml:space="preserve">A. NORMATIVE HEAT RATES — Coal/Lignite Units (CEA Norms 2024-29)</t>
  </si>
  <si>
    <t xml:space="preserve">Plant/Technology Type</t>
  </si>
  <si>
    <t xml:space="preserve">Normative Gross Heat Rate (kcal/kWh)</t>
  </si>
  <si>
    <t xml:space="preserve">Design Heat Rate (kcal/kWh)</t>
  </si>
  <si>
    <t xml:space="preserve">Normative APC (%)</t>
  </si>
  <si>
    <t xml:space="preserve">Normative PLF / PAF (%)</t>
  </si>
  <si>
    <t xml:space="preserve">Normative FOR (%)</t>
  </si>
  <si>
    <t xml:space="preserve">Min Technical Load (% of MCR)</t>
  </si>
  <si>
    <t xml:space="preserve">Sub-critical Coal</t>
  </si>
  <si>
    <t xml:space="preserve">100–200 MW</t>
  </si>
  <si>
    <t xml:space="preserve">CEA 2024-29 Norms</t>
  </si>
  <si>
    <t xml:space="preserve">210 MW (GSECL standard)</t>
  </si>
  <si>
    <t xml:space="preserve">250–300 MW</t>
  </si>
  <si>
    <t xml:space="preserve">500 MW</t>
  </si>
  <si>
    <t xml:space="preserve">Super-critical Coal</t>
  </si>
  <si>
    <t xml:space="preserve">660 MW</t>
  </si>
  <si>
    <t xml:space="preserve">800 MW</t>
  </si>
  <si>
    <t xml:space="preserve">Lignite (SLPP/Akrimota)</t>
  </si>
  <si>
    <t xml:space="preserve">125 MW</t>
  </si>
  <si>
    <t xml:space="preserve">Sub-critical Lignite</t>
  </si>
  <si>
    <t xml:space="preserve">CCGT Gas</t>
  </si>
  <si>
    <t xml:space="preserve">~382 MW block</t>
  </si>
  <si>
    <t xml:space="preserve">~1148 MW (Sugen)</t>
  </si>
  <si>
    <t xml:space="preserve">1900</t>
  </si>
  <si>
    <t xml:space="preserve">OCGT Gas</t>
  </si>
  <si>
    <t xml:space="preserve">100–250 MW</t>
  </si>
  <si>
    <t xml:space="preserve">Nuclear (PHWR)</t>
  </si>
  <si>
    <t xml:space="preserve">220 MW</t>
  </si>
  <si>
    <t xml:space="preserve">Must-run</t>
  </si>
  <si>
    <t xml:space="preserve">CEA / NPCIL norms</t>
  </si>
  <si>
    <t xml:space="preserve">700 MW</t>
  </si>
  <si>
    <t xml:space="preserve">B. CEA NORMATIVE MIN UP TIME / DOWN TIME — Standard Values (India Practice)</t>
  </si>
  <si>
    <t xml:space="preserve">Min Up Time (hrs)</t>
  </si>
  <si>
    <t xml:space="preserve">Min Down Time (hrs)</t>
  </si>
  <si>
    <t xml:space="preserve">Cold Start Time (hrs)</t>
  </si>
  <si>
    <t xml:space="preserve">Warm Start (6-48h)</t>
  </si>
  <si>
    <t xml:space="preserve">Hot Start (&lt;6h)</t>
  </si>
  <si>
    <t xml:space="preserve">Basis</t>
  </si>
  <si>
    <t xml:space="preserve">Sub-critical Coal (210–500 MW)</t>
  </si>
  <si>
    <t xml:space="preserve">POSOCO SCED framework / IEA India study</t>
  </si>
  <si>
    <t xml:space="preserve">CEA/POSOCO 2023</t>
  </si>
  <si>
    <t xml:space="preserve">Standard for Indian subcritical units</t>
  </si>
  <si>
    <t xml:space="preserve">Super-critical Coal (660–800 MW)</t>
  </si>
  <si>
    <t xml:space="preserve">POSOCO SCED framework</t>
  </si>
  <si>
    <t xml:space="preserve">Longer ramp; tighter thermal cycling</t>
  </si>
  <si>
    <t xml:space="preserve">Lignite (125 MW)</t>
  </si>
  <si>
    <t xml:space="preserve">GSECL/GIPCL operating experience</t>
  </si>
  <si>
    <t xml:space="preserve">Proxy</t>
  </si>
  <si>
    <t xml:space="preserve">Lignite slower to light off</t>
  </si>
  <si>
    <t xml:space="preserve">Gas CCGT (&gt;300 MW)</t>
  </si>
  <si>
    <t xml:space="preserve">IEA CCGT benchmark</t>
  </si>
  <si>
    <t xml:space="preserve">IEA/CEA</t>
  </si>
  <si>
    <t xml:space="preserve">Fast start capability</t>
  </si>
  <si>
    <t xml:space="preserve">Gas OCGT / GT Only</t>
  </si>
  <si>
    <t xml:space="preserve">IEA OCGT benchmark</t>
  </si>
  <si>
    <t xml:space="preserve">IEA</t>
  </si>
  <si>
    <t xml:space="preserve">Very fast start</t>
  </si>
  <si>
    <t xml:space="preserve">Nuclear PHWR</t>
  </si>
  <si>
    <t xml:space="preserve">Must-run; no cycling</t>
  </si>
  <si>
    <t xml:space="preserve">Cannot be cycled; treat as must-run</t>
  </si>
  <si>
    <t xml:space="preserve">Large Hydro (SSP/Ukai/Kadana)</t>
  </si>
  <si>
    <t xml:space="preserve">IEA hydro benchmark</t>
  </si>
  <si>
    <t xml:space="preserve">Near-instantaneous start</t>
  </si>
  <si>
    <t xml:space="preserve">GETCO SUBSTATION LIST — 220/132 kV  |  Source: GETCO Annexure-A (Scribd)  |  116 Substations by Zone/Circle</t>
  </si>
  <si>
    <t xml:space="preserve">Source: '08 Annexure-A List of Ss in GETCO System' (Scribd doc 316929944). Lists 116 substations at 220/132kV organised by zone, circle and transmission division. Use alongside Sheet 13 (Network Topology from Power Map). Fault level data (kA, MVA) available separately for impedance proxy calculation.</t>
  </si>
  <si>
    <t xml:space="preserve">GETCO 220/132 kV SUBSTATIONS — By Zone (Source: GETCO Annexure-A)</t>
  </si>
  <si>
    <t xml:space="preserve">Zone</t>
  </si>
  <si>
    <t xml:space="preserve">Circle / Division</t>
  </si>
  <si>
    <t xml:space="preserve">Substation Name</t>
  </si>
  <si>
    <t xml:space="preserve">Voltage (kV)</t>
  </si>
  <si>
    <t xml:space="preserve">Fault MVA (if known)</t>
  </si>
  <si>
    <t xml:space="preserve">Rajkot (220 KV)</t>
  </si>
  <si>
    <t xml:space="preserve">Wankaner</t>
  </si>
  <si>
    <t xml:space="preserve">Gondal</t>
  </si>
  <si>
    <t xml:space="preserve">Jetpur</t>
  </si>
  <si>
    <t xml:space="preserve">Upleta</t>
  </si>
  <si>
    <t xml:space="preserve">Dhandhuka</t>
  </si>
  <si>
    <t xml:space="preserve">Palitana</t>
  </si>
  <si>
    <t xml:space="preserve">Savarkundla</t>
  </si>
  <si>
    <t xml:space="preserve">Shapur</t>
  </si>
  <si>
    <t xml:space="preserve">Keshod</t>
  </si>
  <si>
    <t xml:space="preserve">Porbandar</t>
  </si>
  <si>
    <t xml:space="preserve">Vadinar</t>
  </si>
  <si>
    <t xml:space="preserve">Khambhalia</t>
  </si>
  <si>
    <t xml:space="preserve">Devbhumi Dwarka</t>
  </si>
  <si>
    <t xml:space="preserve">Dwarka</t>
  </si>
  <si>
    <t xml:space="preserve">Okha</t>
  </si>
  <si>
    <t xml:space="preserve">Sikka</t>
  </si>
  <si>
    <t xml:space="preserve">Bhuj</t>
  </si>
  <si>
    <t xml:space="preserve">Bhimasar</t>
  </si>
  <si>
    <t xml:space="preserve">Vansana</t>
  </si>
  <si>
    <t xml:space="preserve">Ratnal</t>
  </si>
  <si>
    <t xml:space="preserve">Anjar</t>
  </si>
  <si>
    <t xml:space="preserve">Mundra</t>
  </si>
  <si>
    <t xml:space="preserve">Parabada (Panandhro)</t>
  </si>
  <si>
    <t xml:space="preserve">Nakhatrana</t>
  </si>
  <si>
    <t xml:space="preserve">Gandhinagar (220 KV)</t>
  </si>
  <si>
    <t xml:space="preserve">Ranasan</t>
  </si>
  <si>
    <t xml:space="preserve">Dehgam</t>
  </si>
  <si>
    <t xml:space="preserve">Kadi</t>
  </si>
  <si>
    <t xml:space="preserve">Kalol</t>
  </si>
  <si>
    <t xml:space="preserve">Narol</t>
  </si>
  <si>
    <t xml:space="preserve">Ghodasar</t>
  </si>
  <si>
    <t xml:space="preserve">Vatva</t>
  </si>
  <si>
    <t xml:space="preserve">Chandkheda</t>
  </si>
  <si>
    <t xml:space="preserve">Odhav</t>
  </si>
  <si>
    <t xml:space="preserve">Mehsana (220 KV)</t>
  </si>
  <si>
    <t xml:space="preserve">Unjha</t>
  </si>
  <si>
    <t xml:space="preserve">Visnagar</t>
  </si>
  <si>
    <t xml:space="preserve">Siddhpur</t>
  </si>
  <si>
    <t xml:space="preserve">Radhanpur</t>
  </si>
  <si>
    <t xml:space="preserve">Palanpur</t>
  </si>
  <si>
    <t xml:space="preserve">Deesa</t>
  </si>
  <si>
    <t xml:space="preserve">Dhanera</t>
  </si>
  <si>
    <t xml:space="preserve">Himatnagar</t>
  </si>
  <si>
    <t xml:space="preserve">Modasa</t>
  </si>
  <si>
    <t xml:space="preserve">Idar</t>
  </si>
  <si>
    <t xml:space="preserve">Vadodara (Gotri) SLDC</t>
  </si>
  <si>
    <t xml:space="preserve">Manjusar</t>
  </si>
  <si>
    <t xml:space="preserve">Wanakbori</t>
  </si>
  <si>
    <t xml:space="preserve">Nadiad</t>
  </si>
  <si>
    <t xml:space="preserve">Dhuvaran</t>
  </si>
  <si>
    <t xml:space="preserve">Karnasad</t>
  </si>
  <si>
    <t xml:space="preserve">Godhra</t>
  </si>
  <si>
    <t xml:space="preserve">Halol</t>
  </si>
  <si>
    <t xml:space="preserve">Dahod</t>
  </si>
  <si>
    <t xml:space="preserve">Lunawada</t>
  </si>
  <si>
    <t xml:space="preserve">Kadana</t>
  </si>
  <si>
    <t xml:space="preserve">Limkheda</t>
  </si>
  <si>
    <t xml:space="preserve">Surat (Sachin)</t>
  </si>
  <si>
    <t xml:space="preserve">Hazira</t>
  </si>
  <si>
    <t xml:space="preserve">Bardoli</t>
  </si>
  <si>
    <t xml:space="preserve">Vapi</t>
  </si>
  <si>
    <t xml:space="preserve">Bilimora</t>
  </si>
  <si>
    <t xml:space="preserve">Kawas</t>
  </si>
  <si>
    <t xml:space="preserve">Ankleshwar</t>
  </si>
  <si>
    <t xml:space="preserve">Kosamba</t>
  </si>
  <si>
    <t xml:space="preserve">Ukai</t>
  </si>
  <si>
    <t xml:space="preserve">Vyara</t>
  </si>
  <si>
    <t xml:space="preserve">Mandvi Surat</t>
  </si>
  <si>
    <t xml:space="preserve">Veraval</t>
  </si>
  <si>
    <t xml:space="preserve">Gir Somnath</t>
  </si>
  <si>
    <t xml:space="preserve">Una</t>
  </si>
  <si>
    <t xml:space="preserve">Talala</t>
  </si>
  <si>
    <t xml:space="preserve">Pipavav</t>
  </si>
  <si>
    <t xml:space="preserve">Khambhat</t>
  </si>
  <si>
    <t xml:space="preserve">UNIT OUTAGE FRAMEWORK &amp; AVAILABILITY  |  Source: NPP DGR Reports + CEA Performance Norms  |  Date: Jun-2026</t>
  </si>
  <si>
    <t xml:space="preserve">Source: National Power Portal (npp.gov.in) DGR-10 Daily Outage Report structure + CEA normative FOR values. NPP publishes daily unit-wise outage data but direct download requires portal access. This sheet provides the framework with CEA normative forced outage rates (FOR%) for GAMS unit availability modelling. RECOMMENDED: Download DGR-10 XLS daily from npp.gov.in/publishedReports for actual availability flags.</t>
  </si>
  <si>
    <t xml:space="preserve">A. CEA NORMATIVE FORCED OUTAGE &amp; AVAILABILITY — Gujarat Thermal Units</t>
  </si>
  <si>
    <t xml:space="preserve">Unit</t>
  </si>
  <si>
    <t xml:space="preserve">Installed
(MW)</t>
  </si>
  <si>
    <t xml:space="preserve">Normative PAF
(%)</t>
  </si>
  <si>
    <t xml:space="preserve">Normative FOR
(%)</t>
  </si>
  <si>
    <t xml:space="preserve">Normative PLF
(%)</t>
  </si>
  <si>
    <t xml:space="preserve">GAMS Availability
Parameter</t>
  </si>
  <si>
    <t xml:space="preserve">NPP Download URL</t>
  </si>
  <si>
    <t xml:space="preserve">u_avail[GTPS,3,t] ∈ {0,1}</t>
  </si>
  <si>
    <t xml:space="preserve">npp.gov.in DGR-10</t>
  </si>
  <si>
    <t xml:space="preserve">u_avail[GTPS,4,t] ∈ {0,1}</t>
  </si>
  <si>
    <t xml:space="preserve">u_avail[GTPS,5,t] ∈ {0,1}</t>
  </si>
  <si>
    <t xml:space="preserve">1-6</t>
  </si>
  <si>
    <t xml:space="preserve">u_avail[WTPS,1-6,t] ∈ {0,1}</t>
  </si>
  <si>
    <t xml:space="preserve">u_avail[WTPS,7,t] ∈ {0,1}</t>
  </si>
  <si>
    <t xml:space="preserve">1-2</t>
  </si>
  <si>
    <t xml:space="preserve">u_avail[UKAI,1-2,t] ∈ {0,1}</t>
  </si>
  <si>
    <t xml:space="preserve">3-5</t>
  </si>
  <si>
    <t xml:space="preserve">u_avail[UKAI,3-5,t] ∈ {0,1}</t>
  </si>
  <si>
    <t xml:space="preserve">u_avail[UKAI,6,t] ∈ {0,1}</t>
  </si>
  <si>
    <t xml:space="preserve">3-4</t>
  </si>
  <si>
    <t xml:space="preserve">u_avail[SIKKA,3-4,t] ∈ {0,1}</t>
  </si>
  <si>
    <t xml:space="preserve">APL MUNDRA Stage-1</t>
  </si>
  <si>
    <t xml:space="preserve">1-4</t>
  </si>
  <si>
    <t xml:space="preserve">u_avail[APL1,1-4,t] ∈ {0,1}</t>
  </si>
  <si>
    <t xml:space="preserve">APL MUNDRA Stage-2</t>
  </si>
  <si>
    <t xml:space="preserve">u_avail[APL2,1-2,t] ∈ {0,1}</t>
  </si>
  <si>
    <t xml:space="preserve">EPGL (Essar Vadinar)</t>
  </si>
  <si>
    <t xml:space="preserve">u_avail[EPGL,1-2,t] ∈ {0,1}</t>
  </si>
  <si>
    <t xml:space="preserve">1-5</t>
  </si>
  <si>
    <t xml:space="preserve">u_avail[CGPL,1-5,t] ∈ {0,1}</t>
  </si>
  <si>
    <t xml:space="preserve">u_avail[SLPP,1-4,t] ∈ {0,1}</t>
  </si>
  <si>
    <t xml:space="preserve">u_avail[AKRIM,1-2,t] ∈ {0,1}</t>
  </si>
  <si>
    <t xml:space="preserve">u_avail[SUGEN,t] ∈ {0,1}</t>
  </si>
  <si>
    <t xml:space="preserve">u_avail[UNSUG,t] ∈ {0,1}</t>
  </si>
  <si>
    <t xml:space="preserve">u_avail[DHUV,t] ∈ {0,1}</t>
  </si>
  <si>
    <t xml:space="preserve">u_avail[UTRAN,t] ∈ {0,1}</t>
  </si>
  <si>
    <t xml:space="preserve">SIPAT-I (NTPC)</t>
  </si>
  <si>
    <t xml:space="preserve">1-3</t>
  </si>
  <si>
    <t xml:space="preserve">u_avail[SIP1,1-3,t] ∈ {0,1}</t>
  </si>
  <si>
    <t xml:space="preserve">SIPAT-II (NTPC)</t>
  </si>
  <si>
    <t xml:space="preserve">u_avail[SIP2,1-2,t] ∈ {0,1}</t>
  </si>
  <si>
    <t xml:space="preserve">VSTPS I–V (NTPC)</t>
  </si>
  <si>
    <t xml:space="preserve">210/500</t>
  </si>
  <si>
    <t xml:space="preserve">u_avail[VSTPS,t] ∈ {0,1}</t>
  </si>
  <si>
    <t xml:space="preserve">KAPS 1&amp;2 (Nuclear)</t>
  </si>
  <si>
    <t xml:space="preserve">u_avail[KAPS,t]=1 (must-run)</t>
  </si>
  <si>
    <t xml:space="preserve">Must-run; no outage</t>
  </si>
  <si>
    <t xml:space="preserve">KAPS 3&amp;4 (Nuclear)</t>
  </si>
  <si>
    <t xml:space="preserve">u_avail[KAPS34,t]=1 (must-run)</t>
  </si>
  <si>
    <t xml:space="preserve">TARAPUR 1-4 (Nuclear)</t>
  </si>
  <si>
    <t xml:space="preserve">160/540</t>
  </si>
  <si>
    <t xml:space="preserve">u_avail[TAPS,t]=1 (must-run)</t>
  </si>
  <si>
    <t xml:space="preserve">B. NPP DAILY OUTAGE REPORT — HOW TO DOWNLOAD (Manual Process Required)</t>
  </si>
  <si>
    <t xml:space="preserve">Step 1</t>
  </si>
  <si>
    <t xml:space="preserve">Go to: https://npp.gov.in/publishedReports</t>
  </si>
  <si>
    <t xml:space="preserve">Step 2</t>
  </si>
  <si>
    <t xml:space="preserve">Under 'Daily Generation Reports' → Click DGR-10 XLS (Coal/Lignite/Nuclear Outage Report)</t>
  </si>
  <si>
    <t xml:space="preserve">Step 3</t>
  </si>
  <si>
    <t xml:space="preserve">Filter by State = Gujarat or search for Gujarat plant names</t>
  </si>
  <si>
    <t xml:space="preserve">Step 4</t>
  </si>
  <si>
    <t xml:space="preserve">Column structure: Station | Unit | Capacity | Outage Type | Start Date | Expected Return</t>
  </si>
  <si>
    <t xml:space="preserve">Step 5</t>
  </si>
  <si>
    <t xml:space="preserve">DGR-12 = Units out &gt;15 days (long-term outage); DGR-15 = Units went out today</t>
  </si>
  <si>
    <t xml:space="preserve">Step 6</t>
  </si>
  <si>
    <t xml:space="preserve">Map outage dates to 96-block availability flags for GAMS model input</t>
  </si>
  <si>
    <t xml:space="preserve">NPP blocks direct download from automated scripts; must be downloaded manually from browser</t>
  </si>
  <si>
    <t xml:space="preserve">SPINNING RESERVE &amp; ANCILLARY SERVICES FRAMEWORK — GUJARAT  |  Source: GERC BESS Reg 2026 + IEGC + CERC AS Framework</t>
  </si>
  <si>
    <t xml:space="preserve">Sources: (1) GERC Grid Interactive BESS Regulations 2026 (notified May 2026) — SLDC empowered to dispatch ancillary services. (2) IEGC 5th Amendment — frequency response obligation for WR states. (3) CERC Ancillary Services Regulations 2022 — framework for spinning reserve, regulation reserve, black start. Exact MW quantum for Gujarat spinning reserve not publicly notified; values below are IEGC-derived estimates.</t>
  </si>
  <si>
    <t xml:space="preserve">A. SPINNING RESERVE OBLIGATION — Gujarat (IEGC-derived Estimates)</t>
  </si>
  <si>
    <t xml:space="preserve">Value / Requirement</t>
  </si>
  <si>
    <t xml:space="preserve">GAMS Model Constraint</t>
  </si>
  <si>
    <t xml:space="preserve">Primary Reserve (Frequency Response)</t>
  </si>
  <si>
    <t xml:space="preserve">≥ 5% of peak demand online</t>
  </si>
  <si>
    <t xml:space="preserve">IEGC — all constituents must maintain 5% primary reserve</t>
  </si>
  <si>
    <t xml:space="preserve">∑ P_online(t) ≥ P_demand(t) × 1.05</t>
  </si>
  <si>
    <t xml:space="preserve">IEGC 5th Amendment</t>
  </si>
  <si>
    <t xml:space="preserve">Apply to all online thermal units</t>
  </si>
  <si>
    <t xml:space="preserve">Secondary Reserve (Regulation)</t>
  </si>
  <si>
    <t xml:space="preserve">≥ 2–3% of peak demand</t>
  </si>
  <si>
    <t xml:space="preserve">CERC AS Regulations 2022 — regulation reserve band</t>
  </si>
  <si>
    <t xml:space="preserve">∑ headroom(t) ≥ P_demand(t) × 0.025</t>
  </si>
  <si>
    <t xml:space="preserve">CERC AS Reg 2022</t>
  </si>
  <si>
    <t xml:space="preserve">Gas plants preferred for fast regulation</t>
  </si>
  <si>
    <t xml:space="preserve">Gujarat Peak Demand (30-May-2026)</t>
  </si>
  <si>
    <t xml:space="preserve">26,093 MW (max of day)</t>
  </si>
  <si>
    <t xml:space="preserve">WRLDC PSP 30-May-2026 (Sheet 10)</t>
  </si>
  <si>
    <t xml:space="preserve">P_demand_peak = 26,093 MW</t>
  </si>
  <si>
    <t xml:space="preserve">✅ Actual</t>
  </si>
  <si>
    <t xml:space="preserve">Use for reserve sizing</t>
  </si>
  <si>
    <t xml:space="preserve">Gujarat Evening Peak (typical)</t>
  </si>
  <si>
    <t xml:space="preserve">22,000–24,000 MW</t>
  </si>
  <si>
    <t xml:space="preserve">WRLDC PSP historical range (Sheet 10)</t>
  </si>
  <si>
    <t xml:space="preserve">P_demand_eve = 22,000–24,000 MW</t>
  </si>
  <si>
    <t xml:space="preserve">Implied Primary Reserve Requirement</t>
  </si>
  <si>
    <t xml:space="preserve">~1,100–1,300 MW (5% of 22,000–26,000 MW)</t>
  </si>
  <si>
    <t xml:space="preserve">IEGC 5% rule applied to Gujarat peak</t>
  </si>
  <si>
    <t xml:space="preserve">SR_min(t) ≥ 0.05 × Load(t)</t>
  </si>
  <si>
    <t xml:space="preserve">Derived</t>
  </si>
  <si>
    <t xml:space="preserve">Confirm with SLDC</t>
  </si>
  <si>
    <t xml:space="preserve">Implied Regulation Reserve</t>
  </si>
  <si>
    <t xml:space="preserve">~550–650 MW (2.5% of peak)</t>
  </si>
  <si>
    <t xml:space="preserve">CERC 2.5% regulation band</t>
  </si>
  <si>
    <t xml:space="preserve">Reg_min(t) ≥ 0.025 × Load(t)</t>
  </si>
  <si>
    <t xml:space="preserve">BESS now eligible per GERC 2026</t>
  </si>
  <si>
    <t xml:space="preserve">BESS for Ancillary Services</t>
  </si>
  <si>
    <t xml:space="preserve">Eligible from 2026</t>
  </si>
  <si>
    <t xml:space="preserve">GERC BESS Reg 2026 — SLDC to dispatch BESS for AS</t>
  </si>
  <si>
    <t xml:space="preserve">Add BESS as AS provider in model</t>
  </si>
  <si>
    <t xml:space="preserve">GERC BESS Reg 2026</t>
  </si>
  <si>
    <t xml:space="preserve">✅ Confirmed</t>
  </si>
  <si>
    <t xml:space="preserve">Key new development</t>
  </si>
  <si>
    <t xml:space="preserve">Must-Run Units (Nuclear + SSP)</t>
  </si>
  <si>
    <t xml:space="preserve">~1,400 MW always online</t>
  </si>
  <si>
    <t xml:space="preserve">Nuclear + SSP = must-run per Grid Code</t>
  </si>
  <si>
    <t xml:space="preserve">u_commit[nuclear,t] = 1 for all t</t>
  </si>
  <si>
    <t xml:space="preserve">Grid Code / SLDC</t>
  </si>
  <si>
    <t xml:space="preserve">Cannot be committed off</t>
  </si>
  <si>
    <t xml:space="preserve">Frequency Response Obligation (FRO)</t>
  </si>
  <si>
    <t xml:space="preserve">Assessed annually per RLDC</t>
  </si>
  <si>
    <t xml:space="preserve">CERC Methodology for FRO computation — NLDC circular 2024</t>
  </si>
  <si>
    <t xml:space="preserve">FRO constraint in UC formulation</t>
  </si>
  <si>
    <t xml:space="preserve">NLDC Circular 2024</t>
  </si>
  <si>
    <t xml:space="preserve">✅ Framework</t>
  </si>
  <si>
    <t xml:space="preserve">Gujarat FRO quantum from WRLDC</t>
  </si>
  <si>
    <t xml:space="preserve">B. ANCILLARY SERVICE TYPES — GERC Framework 2026</t>
  </si>
  <si>
    <t xml:space="preserve">Service Type</t>
  </si>
  <si>
    <t xml:space="preserve">Response Time</t>
  </si>
  <si>
    <t xml:space="preserve">Duration</t>
  </si>
  <si>
    <t xml:space="preserve">Provider Eligible</t>
  </si>
  <si>
    <t xml:space="preserve">GAMS Constraint</t>
  </si>
  <si>
    <t xml:space="preserve">GERC 2026 Status</t>
  </si>
  <si>
    <t xml:space="preserve">Primary Frequency Response</t>
  </si>
  <si>
    <t xml:space="preserve">&lt; 10 seconds</t>
  </si>
  <si>
    <t xml:space="preserve">30 min</t>
  </si>
  <si>
    <t xml:space="preserve">Thermal (online), Hydro, BESS</t>
  </si>
  <si>
    <t xml:space="preserve">droop_response ≥ FRO_obligation</t>
  </si>
  <si>
    <t xml:space="preserve">Eligible: All online generators</t>
  </si>
  <si>
    <t xml:space="preserve">Secondary Regulation (AGC)</t>
  </si>
  <si>
    <t xml:space="preserve">&lt; 30 seconds</t>
  </si>
  <si>
    <t xml:space="preserve">Continuous</t>
  </si>
  <si>
    <t xml:space="preserve">Gas CCGT, Hydro, BESS</t>
  </si>
  <si>
    <t xml:space="preserve">AGC_band = ±regulation_reserve</t>
  </si>
  <si>
    <t xml:space="preserve">BESS newly eligible per GERC 2026</t>
  </si>
  <si>
    <t xml:space="preserve">Spinning Reserve</t>
  </si>
  <si>
    <t xml:space="preserve">&lt; 10 minutes</t>
  </si>
  <si>
    <t xml:space="preserve">Online thermal headroom, Hydro</t>
  </si>
  <si>
    <t xml:space="preserve">∑headroom ≥ SR_min(t)</t>
  </si>
  <si>
    <t xml:space="preserve">Thermal headroom + Hydro</t>
  </si>
  <si>
    <t xml:space="preserve">Non-Spinning Reserve</t>
  </si>
  <si>
    <t xml:space="preserve">&lt; 30 minutes</t>
  </si>
  <si>
    <t xml:space="preserve">60 min</t>
  </si>
  <si>
    <t xml:space="preserve">Fast-start gas GT, BESS</t>
  </si>
  <si>
    <t xml:space="preserve">OCGT start within 30 min</t>
  </si>
  <si>
    <t xml:space="preserve">Gas GTs at Kawas, Jhanor</t>
  </si>
  <si>
    <t xml:space="preserve">Black Start</t>
  </si>
  <si>
    <t xml:space="preserve">&lt; 4 hours</t>
  </si>
  <si>
    <t xml:space="preserve">Designated units only</t>
  </si>
  <si>
    <t xml:space="preserve">Exogenous; not in UC</t>
  </si>
  <si>
    <t xml:space="preserve">Designated by SLDC separately</t>
  </si>
  <si>
    <t xml:space="preserve">Peak Management</t>
  </si>
  <si>
    <t xml:space="preserve">Day-ahead</t>
  </si>
  <si>
    <t xml:space="preserve">Hours</t>
  </si>
  <si>
    <t xml:space="preserve">BESS, Hydro, Gas peakers</t>
  </si>
  <si>
    <t xml:space="preserve">Peaking_unit binary in UC</t>
  </si>
  <si>
    <t xml:space="preserve">GERC BESS 2026 permits</t>
  </si>
  <si>
    <t xml:space="preserve">Energy Arbitrage (BESS)</t>
  </si>
  <si>
    <t xml:space="preserve">Standalone BESS</t>
  </si>
  <si>
    <t xml:space="preserve">Charge/discharge in off-peak/peak</t>
  </si>
  <si>
    <t xml:space="preserve">EXTERNAL DATA SOURCES REGISTER  |  All public sources identified for Gujarat SCED/SCUC model  |  Updated: Jun-2026</t>
  </si>
  <si>
    <t xml:space="preserve">Source Name</t>
  </si>
  <si>
    <t xml:space="preserve">URL / Reference</t>
  </si>
  <si>
    <t xml:space="preserve">Format</t>
  </si>
  <si>
    <t xml:space="preserve">Access</t>
  </si>
  <si>
    <t xml:space="preserve">Data Freshness</t>
  </si>
  <si>
    <t xml:space="preserve">Sheet in This File</t>
  </si>
  <si>
    <t xml:space="preserve">Installed Capacity</t>
  </si>
  <si>
    <t xml:space="preserve">GETCO/SLDC</t>
  </si>
  <si>
    <t xml:space="preserve">Installed_capacity_311225 PDF (uploaded)</t>
  </si>
  <si>
    <t xml:space="preserve">PDF</t>
  </si>
  <si>
    <t xml:space="preserve">Direct upload</t>
  </si>
  <si>
    <t xml:space="preserve">Technical Minimum (Pmin)</t>
  </si>
  <si>
    <t xml:space="preserve">SLDC Vadodara</t>
  </si>
  <si>
    <t xml:space="preserve">TECHNICAL_MINIMUM.pdf (uploaded)</t>
  </si>
  <si>
    <t xml:space="preserve">Merit Order (Variable Cost)</t>
  </si>
  <si>
    <t xml:space="preserve">SLDC MOD</t>
  </si>
  <si>
    <t xml:space="preserve">MOSLDC02062620260603054336.pdf (uploaded)</t>
  </si>
  <si>
    <t xml:space="preserve">Full Merit Order + Schedule</t>
  </si>
  <si>
    <t xml:space="preserve">SLDC MOS Excel</t>
  </si>
  <si>
    <t xml:space="preserve">MeritOrderSummary_GJT_30_May_2026.xlsx (uploaded)</t>
  </si>
  <si>
    <t xml:space="preserve">XLS</t>
  </si>
  <si>
    <t xml:space="preserve">Coal Supply Curve (India)</t>
  </si>
  <si>
    <t xml:space="preserve">ICED / NITI Aayog</t>
  </si>
  <si>
    <t xml:space="preserve">iced-power-supply-curve-india-coal-2024-25.csv (uploaded)</t>
  </si>
  <si>
    <t xml:space="preserve">CSV</t>
  </si>
  <si>
    <t xml:space="preserve">Ramp Rates (proxy)</t>
  </si>
  <si>
    <t xml:space="preserve">CEA/CERC Regulations 2023</t>
  </si>
  <si>
    <t xml:space="preserve">cercind.gov.in/regulations</t>
  </si>
  <si>
    <t xml:space="preserve">Public</t>
  </si>
  <si>
    <t xml:space="preserve">2023</t>
  </si>
  <si>
    <t xml:space="preserve">Gujarat Actual Generation</t>
  </si>
  <si>
    <t xml:space="preserve">WRLDC / Grid-India</t>
  </si>
  <si>
    <t xml:space="preserve">WRLDC_PSP_Report_30-05-2026.pdf (uploaded)</t>
  </si>
  <si>
    <t xml:space="preserve">ISGS Drawal Schedule</t>
  </si>
  <si>
    <t xml:space="preserve">Gujarat Demand + RE Curtailment</t>
  </si>
  <si>
    <t xml:space="preserve">Reservoir Levels</t>
  </si>
  <si>
    <t xml:space="preserve">IR Exchange + Frequency</t>
  </si>
  <si>
    <t xml:space="preserve">Network Bus Topology</t>
  </si>
  <si>
    <t xml:space="preserve">GETCO</t>
  </si>
  <si>
    <t xml:space="preserve">Gujarat_Power_Map_01_09_2023.pdf (uploaded)</t>
  </si>
  <si>
    <t xml:space="preserve">PDF Map</t>
  </si>
  <si>
    <t xml:space="preserve">Transmission Line Connectivity</t>
  </si>
  <si>
    <t xml:space="preserve">Zonal Model (5-zone)</t>
  </si>
  <si>
    <t xml:space="preserve">Derived from Power Map + Installed Capacity</t>
  </si>
  <si>
    <t xml:space="preserve">Internal</t>
  </si>
  <si>
    <t xml:space="preserve">2023/2025</t>
  </si>
  <si>
    <t xml:space="preserve">CEA Operation Norms (Heat Rate, FOR, MUT)</t>
  </si>
  <si>
    <t xml:space="preserve">CEA / CERC</t>
  </si>
  <si>
    <t xml:space="preserve">cercind.gov.in/2024/draft_reg/TTF2024/CEA-Recommendation on Operation Norms.pdf</t>
  </si>
  <si>
    <t xml:space="preserve">GETCO 220/132kV Substation List</t>
  </si>
  <si>
    <t xml:space="preserve">GETCO (via Scribd)</t>
  </si>
  <si>
    <t xml:space="preserve">scribd.com/doc/316929944/08-Annexure-a-List-of-Ss-in-GETCO-System</t>
  </si>
  <si>
    <t xml:space="preserve">Public (Scribd)</t>
  </si>
  <si>
    <t xml:space="preserve">2016 (needs update)</t>
  </si>
  <si>
    <t xml:space="preserve">GETCO Fault Level Data (220kV)</t>
  </si>
  <si>
    <t xml:space="preserve">scribd.com/document/595220041/Fault-level-Dec-2021</t>
  </si>
  <si>
    <t xml:space="preserve">Dec-2021</t>
  </si>
  <si>
    <t xml:space="preserve">Use to derive impedance proxy</t>
  </si>
  <si>
    <t xml:space="preserve">Daily Outage Report (DGR-10)</t>
  </si>
  <si>
    <t xml:space="preserve">CEA / NPP</t>
  </si>
  <si>
    <t xml:space="preserve">npp.gov.in/publishedReports → DGR-10 XLS</t>
  </si>
  <si>
    <t xml:space="preserve">Public (manual download)</t>
  </si>
  <si>
    <t xml:space="preserve">Daily</t>
  </si>
  <si>
    <t xml:space="preserve">Monthly Station Generation</t>
  </si>
  <si>
    <t xml:space="preserve">npp.gov.in/publishedReports → Monthly 18-col Report</t>
  </si>
  <si>
    <t xml:space="preserve">Monthly</t>
  </si>
  <si>
    <t xml:space="preserve">Cross-validation</t>
  </si>
  <si>
    <t xml:space="preserve">Spinning Reserve / AS Framework</t>
  </si>
  <si>
    <t xml:space="preserve">GERC / CERC</t>
  </si>
  <si>
    <t xml:space="preserve">gercin.org/wp-content/uploads/2026/05/Final_DRAFT-BESS-REGULATION-GERC.pdf</t>
  </si>
  <si>
    <t xml:space="preserve">Hourly Load Profile (Gujarat)</t>
  </si>
  <si>
    <t xml:space="preserve">iced.niti.gov.in/energy/electricity/distribution/national-level-consumption/load-curve</t>
  </si>
  <si>
    <t xml:space="preserve">Web (interactive)</t>
  </si>
  <si>
    <t xml:space="preserve">Public (scrape)</t>
  </si>
  <si>
    <t xml:space="preserve">Up to Mar-2026</t>
  </si>
  <si>
    <t xml:space="preserve">Not yet extracted — manual scrape needed</t>
  </si>
  <si>
    <t xml:space="preserve">96-block Demand Data (actual)</t>
  </si>
  <si>
    <t xml:space="preserve">SLDC Gujarat</t>
  </si>
  <si>
    <t xml:space="preserve">sldcguj.com (login required)</t>
  </si>
  <si>
    <t xml:space="preserve">App/Portal</t>
  </si>
  <si>
    <t xml:space="preserve">Login required</t>
  </si>
  <si>
    <t xml:space="preserve">Real-time</t>
  </si>
  <si>
    <t xml:space="preserve">❌ Requires SLDC access</t>
  </si>
  <si>
    <t xml:space="preserve">RE Forecast 15-min profile</t>
  </si>
  <si>
    <t xml:space="preserve">SLDC REMC</t>
  </si>
  <si>
    <t xml:space="preserve">Internal SLDC system</t>
  </si>
  <si>
    <t xml:space="preserve">SLDC internal</t>
  </si>
  <si>
    <t xml:space="preserve">Line Impedances R/X/B</t>
  </si>
  <si>
    <t xml:space="preserve">GETCO Network Planning</t>
  </si>
  <si>
    <t xml:space="preserve">Internal GETCO network model</t>
  </si>
  <si>
    <t xml:space="preserve">GETCO internal</t>
  </si>
  <si>
    <t xml:space="preserve">❌ Requires GETCO access</t>
  </si>
  <si>
    <t xml:space="preserve">Gas Nomination Daily</t>
  </si>
  <si>
    <t xml:space="preserve">GAIL / GSPC</t>
  </si>
  <si>
    <t xml:space="preserve">Internal GAIL nominations</t>
  </si>
  <si>
    <t xml:space="preserve">Utility internal</t>
  </si>
  <si>
    <t xml:space="preserve">❌ Requires GAIL/GSPC access</t>
  </si>
  <si>
    <t xml:space="preserve">GUJARAT 96-BLOCK LOAD PROFILE  |  🔴 REPRODUCED from WRLDC PSP + seasonal shape  |  Verify with SLDC</t>
  </si>
  <si>
    <t xml:space="preserve">DATA AUTHENTICITY:  🟢 AUTH = Official source / uploaded doc  |  🟡 DERIV = Calculated from authentic data  |  🟠 PROXY = Regulatory norm (CEA/CERC/IEA) — valid but not unit-specific  |  🔴 REPR = Reproduced by engineering judgment — MUST BE VERIFIED before GAMS use
THIS SHEET: Reproduced using WRLDC PSP 30-May-2026 anchors (peak=22,145 MW @20:00; trough=20,185 MW @03:00; max=26,093 MW @15:30; solar peak=9,993 MW @12:08; wind avg=5,181 MW). Seasonal shapes derived from typical Gujarat demand patterns. Values are ESTIMATES.</t>
  </si>
  <si>
    <t xml:space="preserve">Blk</t>
  </si>
  <si>
    <t xml:space="preserve">Time</t>
  </si>
  <si>
    <t xml:space="preserve">SumWkDay
(MW)</t>
  </si>
  <si>
    <t xml:space="preserve">SumWkEnd
(MW)</t>
  </si>
  <si>
    <t xml:space="preserve">Winter
WkDay(MW)</t>
  </si>
  <si>
    <t xml:space="preserve">Monsoon
WkDay(MW)</t>
  </si>
  <si>
    <t xml:space="preserve">Solar
30-May(MW)</t>
  </si>
  <si>
    <t xml:space="preserve">Wind
30-May(MW)</t>
  </si>
  <si>
    <t xml:space="preserve">Residual
Load(MW)</t>
  </si>
  <si>
    <t xml:space="preserve">Data
Type</t>
  </si>
  <si>
    <t xml:space="preserve">🔴 REPR</t>
  </si>
  <si>
    <t xml:space="preserve">Seasonal shape model</t>
  </si>
  <si>
    <t xml:space="preserve">00:15</t>
  </si>
  <si>
    <t xml:space="preserve">00:30</t>
  </si>
  <si>
    <t xml:space="preserve">00:45</t>
  </si>
  <si>
    <t xml:space="preserve">01:00</t>
  </si>
  <si>
    <t xml:space="preserve">01:15</t>
  </si>
  <si>
    <t xml:space="preserve">01:30</t>
  </si>
  <si>
    <t xml:space="preserve">01:45</t>
  </si>
  <si>
    <t xml:space="preserve">02:00</t>
  </si>
  <si>
    <t xml:space="preserve">02:15</t>
  </si>
  <si>
    <t xml:space="preserve">02:30</t>
  </si>
  <si>
    <t xml:space="preserve">02:45</t>
  </si>
  <si>
    <t xml:space="preserve">03:00</t>
  </si>
  <si>
    <t xml:space="preserve">🟢 AUTH anchor</t>
  </si>
  <si>
    <t xml:space="preserve">03:15</t>
  </si>
  <si>
    <t xml:space="preserve">03:30</t>
  </si>
  <si>
    <t xml:space="preserve">03:45</t>
  </si>
  <si>
    <t xml:space="preserve">04:00</t>
  </si>
  <si>
    <t xml:space="preserve">04:15</t>
  </si>
  <si>
    <t xml:space="preserve">04:30</t>
  </si>
  <si>
    <t xml:space="preserve">04:45</t>
  </si>
  <si>
    <t xml:space="preserve">05:00</t>
  </si>
  <si>
    <t xml:space="preserve">05:15</t>
  </si>
  <si>
    <t xml:space="preserve">05:30</t>
  </si>
  <si>
    <t xml:space="preserve">05:45</t>
  </si>
  <si>
    <t xml:space="preserve">06:00</t>
  </si>
  <si>
    <t xml:space="preserve">06:15</t>
  </si>
  <si>
    <t xml:space="preserve">06:30</t>
  </si>
  <si>
    <t xml:space="preserve">06:45</t>
  </si>
  <si>
    <t xml:space="preserve">07:00</t>
  </si>
  <si>
    <t xml:space="preserve">07:15</t>
  </si>
  <si>
    <t xml:space="preserve">07:30</t>
  </si>
  <si>
    <t xml:space="preserve">07:45</t>
  </si>
  <si>
    <t xml:space="preserve">08:00</t>
  </si>
  <si>
    <t xml:space="preserve">08:15</t>
  </si>
  <si>
    <t xml:space="preserve">08:30</t>
  </si>
  <si>
    <t xml:space="preserve">08:45</t>
  </si>
  <si>
    <t xml:space="preserve">09:00</t>
  </si>
  <si>
    <t xml:space="preserve">09:15</t>
  </si>
  <si>
    <t xml:space="preserve">09:45</t>
  </si>
  <si>
    <t xml:space="preserve">10:00</t>
  </si>
  <si>
    <t xml:space="preserve">10:15</t>
  </si>
  <si>
    <t xml:space="preserve">10:30</t>
  </si>
  <si>
    <t xml:space="preserve">10:45</t>
  </si>
  <si>
    <t xml:space="preserve">11:00</t>
  </si>
  <si>
    <t xml:space="preserve">11:15</t>
  </si>
  <si>
    <t xml:space="preserve">11:30</t>
  </si>
  <si>
    <t xml:space="preserve">11:45</t>
  </si>
  <si>
    <t xml:space="preserve">12:00</t>
  </si>
  <si>
    <t xml:space="preserve">12:15</t>
  </si>
  <si>
    <t xml:space="preserve">12:30</t>
  </si>
  <si>
    <t xml:space="preserve">12:45</t>
  </si>
  <si>
    <t xml:space="preserve">13:00</t>
  </si>
  <si>
    <t xml:space="preserve">13:15</t>
  </si>
  <si>
    <t xml:space="preserve">13:30</t>
  </si>
  <si>
    <t xml:space="preserve">13:45</t>
  </si>
  <si>
    <t xml:space="preserve">14:00</t>
  </si>
  <si>
    <t xml:space="preserve">14:15</t>
  </si>
  <si>
    <t xml:space="preserve">14:30</t>
  </si>
  <si>
    <t xml:space="preserve">14:45</t>
  </si>
  <si>
    <t xml:space="preserve">15:00</t>
  </si>
  <si>
    <t xml:space="preserve">15:15</t>
  </si>
  <si>
    <t xml:space="preserve">15:45</t>
  </si>
  <si>
    <t xml:space="preserve">16:00</t>
  </si>
  <si>
    <t xml:space="preserve">16:15</t>
  </si>
  <si>
    <t xml:space="preserve">16:30</t>
  </si>
  <si>
    <t xml:space="preserve">16:45</t>
  </si>
  <si>
    <t xml:space="preserve">17:00</t>
  </si>
  <si>
    <t xml:space="preserve">17:15</t>
  </si>
  <si>
    <t xml:space="preserve">17:30</t>
  </si>
  <si>
    <t xml:space="preserve">17:45</t>
  </si>
  <si>
    <t xml:space="preserve">18:00</t>
  </si>
  <si>
    <t xml:space="preserve">18:15</t>
  </si>
  <si>
    <t xml:space="preserve">18:30</t>
  </si>
  <si>
    <t xml:space="preserve">18:45</t>
  </si>
  <si>
    <t xml:space="preserve">19:00</t>
  </si>
  <si>
    <t xml:space="preserve">19:15</t>
  </si>
  <si>
    <t xml:space="preserve">19:30</t>
  </si>
  <si>
    <t xml:space="preserve">19:45</t>
  </si>
  <si>
    <t xml:space="preserve">20:00</t>
  </si>
  <si>
    <t xml:space="preserve">20:15</t>
  </si>
  <si>
    <t xml:space="preserve">20:30</t>
  </si>
  <si>
    <t xml:space="preserve">20:45</t>
  </si>
  <si>
    <t xml:space="preserve">21:00</t>
  </si>
  <si>
    <t xml:space="preserve">21:15</t>
  </si>
  <si>
    <t xml:space="preserve">21:30</t>
  </si>
  <si>
    <t xml:space="preserve">21:45</t>
  </si>
  <si>
    <t xml:space="preserve">22:00</t>
  </si>
  <si>
    <t xml:space="preserve">22:15</t>
  </si>
  <si>
    <t xml:space="preserve">22:30</t>
  </si>
  <si>
    <t xml:space="preserve">22:45</t>
  </si>
  <si>
    <t xml:space="preserve">23:00</t>
  </si>
  <si>
    <t xml:space="preserve">23:15</t>
  </si>
  <si>
    <t xml:space="preserve">23:30</t>
  </si>
  <si>
    <t xml:space="preserve">23:45</t>
  </si>
  <si>
    <t xml:space="preserve">GUJARAT RE GENERATION PROFILE (96-block)  |  🔴 REPRODUCED  |  Verify with SLDC REMC</t>
  </si>
  <si>
    <t xml:space="preserve">DATA AUTHENTICITY:  🟢 AUTH = Official source / uploaded doc  |  🟡 DERIV = Calculated from authentic data  |  🟠 PROXY = Regulatory norm (CEA/CERC/IEA) — valid but not unit-specific  |  🔴 REPR = Reproduced by engineering judgment — MUST BE VERIFIED before GAMS use
THIS SHEET: Solar profile from Gaussian clear-sky model anchored to WRLDC PSP (peak 9,993 MW @12:08, day energy 75.73 MU). Wind from WRLDC PSP (peak 6,153 MW @20:06, avg 5,181 MW, day energy 124.34 MU). Zone splits from installed capacity ratios: Solar — Kutch 18%, N.Guj 35%, Central 25%, South 22%; Wind — Kutch 45%, Saurashtra 40%, Others 15%.</t>
  </si>
  <si>
    <t xml:space="preserve">Solar Total
(MW)</t>
  </si>
  <si>
    <t xml:space="preserve">Wind Total
(MW)</t>
  </si>
  <si>
    <t xml:space="preserve">Solar:Kutch
(MW)</t>
  </si>
  <si>
    <t xml:space="preserve">Solar:N.Guj
(MW)</t>
  </si>
  <si>
    <t xml:space="preserve">Solar:Central
(MW)</t>
  </si>
  <si>
    <t xml:space="preserve">Solar:South
(MW)</t>
  </si>
  <si>
    <t xml:space="preserve">Wind:Kutch
(MW)</t>
  </si>
  <si>
    <t xml:space="preserve">Wind:Saur
(MW)</t>
  </si>
  <si>
    <t xml:space="preserve">Data Type</t>
  </si>
  <si>
    <t xml:space="preserve">Gaussian solar + diurnal wind model</t>
  </si>
  <si>
    <t xml:space="preserve">TRANSMISSION LINE IMPEDANCES R/X/B  |  🟠 PROXY — Standard ACSR × map lengths  |  MUST be replaced with GETCO actual data</t>
  </si>
  <si>
    <t xml:space="preserve">DATA AUTHENTICITY:  🟢 AUTH = Official source / uploaded doc  |  🟡 DERIV = Calculated from authentic data  |  🟠 PROXY = Regulatory norm (CEA/CERC/IEA) — valid but not unit-specific  |  🔴 REPR = Reproduced by engineering judgment — MUST BE VERIFIED before GAMS use
CALCULATION BASIS: 220kV ACSR Zebra: r=0.073 Ω/km, x=0.356 Ω/km, b=2.75μS/km, Smax=300 MVA/ckt. 400kV ACSR Moose: r=0.049 Ω/km, x=0.312 Ω/km, b=3.2μS/km, Smax=600 MVA/ckt. 765kV: r=0.025 Ω/km, x=0.265 Ω/km, b=3.6μS/km, Smax=2000 MVA/ckt. Base: 100 MVA. Zbase=kV²/100. R_pu=r_Ω/Zbase, X_pu=x_Ω/Zbase. Lengths from Sheet 14 (map estimates). HVDC modelled as power injection — R/X/B = 0.</t>
  </si>
  <si>
    <t xml:space="preserve">LINE PARAMETERS — Per Unit on 100 MVA System Base</t>
  </si>
  <si>
    <t xml:space="preserve">kV</t>
  </si>
  <si>
    <t xml:space="preserve">Ckts</t>
  </si>
  <si>
    <t xml:space="preserve">Length
(km)</t>
  </si>
  <si>
    <t xml:space="preserve">R_pu
(100MVA)</t>
  </si>
  <si>
    <t xml:space="preserve">X_pu
(100MVA)</t>
  </si>
  <si>
    <t xml:space="preserve">B_pu
(100MVA)</t>
  </si>
  <si>
    <t xml:space="preserve">Smax
(MVA)</t>
  </si>
  <si>
    <t xml:space="preserve">RANA PGCIL</t>
  </si>
  <si>
    <t xml:space="preserve">🟠 PROXY</t>
  </si>
  <si>
    <t xml:space="preserve">ACSR std params × 220km / 1ckt on 765kV</t>
  </si>
  <si>
    <t xml:space="preserve">KHAVDA-1</t>
  </si>
  <si>
    <t xml:space="preserve">BHUJ PGCIL</t>
  </si>
  <si>
    <t xml:space="preserve">ACSR std params × 120km / 2ckt on 765kV</t>
  </si>
  <si>
    <t xml:space="preserve">KHAVDA-2</t>
  </si>
  <si>
    <t xml:space="preserve">ACSR std params × 250km / 2ckt on 765kV</t>
  </si>
  <si>
    <t xml:space="preserve">ACSR std params × 120km / 1ckt on 765kV</t>
  </si>
  <si>
    <t xml:space="preserve">CHITTORGARH NR</t>
  </si>
  <si>
    <t xml:space="preserve">ACSR std params × 280km / 2ckt on 765kV</t>
  </si>
  <si>
    <t xml:space="preserve">MUNDRA HVDC</t>
  </si>
  <si>
    <t xml:space="preserve">MOHINDARGARH NR</t>
  </si>
  <si>
    <t xml:space="preserve">HVDC: model as power injection ±1500MW</t>
  </si>
  <si>
    <t xml:space="preserve">ACSR std params × 80km / 2ckt on 400kV</t>
  </si>
  <si>
    <t xml:space="preserve">BHUJ</t>
  </si>
  <si>
    <t xml:space="preserve">ACSR std params × 60km / 2ckt on 400kV</t>
  </si>
  <si>
    <t xml:space="preserve">ACSR std params × 50km / 2ckt on 400kV</t>
  </si>
  <si>
    <t xml:space="preserve">ACSR std params × 90km / 2ckt on 400kV</t>
  </si>
  <si>
    <t xml:space="preserve">ACSR std params × 70km / 2ckt on 400kV</t>
  </si>
  <si>
    <t xml:space="preserve">ACSR std params × 100km / 2ckt on 400kV</t>
  </si>
  <si>
    <t xml:space="preserve">ACSR std params × 35km / 2ckt on 400kV</t>
  </si>
  <si>
    <t xml:space="preserve">ACSR std params × 55km / 1ckt on 400kV</t>
  </si>
  <si>
    <t xml:space="preserve">ACSR std params × 80km / 1ckt on 400kV</t>
  </si>
  <si>
    <t xml:space="preserve">ACSR std params × 30km / 2ckt on 400kV</t>
  </si>
  <si>
    <t xml:space="preserve">ACSR std params × 40km / 2ckt on 400kV</t>
  </si>
  <si>
    <t xml:space="preserve">VADODARA PGCIL</t>
  </si>
  <si>
    <t xml:space="preserve">ACSR std params × 15km / 2ckt on 400kV</t>
  </si>
  <si>
    <t xml:space="preserve">SURAT PGCIL</t>
  </si>
  <si>
    <t xml:space="preserve">MUMBAI PGCIL</t>
  </si>
  <si>
    <t xml:space="preserve">ACSR std params × 180km / 2ckt on 400kV</t>
  </si>
  <si>
    <t xml:space="preserve">INDORE MP</t>
  </si>
  <si>
    <t xml:space="preserve">ACSR std params × 250km / 2ckt on 400kV</t>
  </si>
  <si>
    <t xml:space="preserve">ACSR std params × 60km / 2ckt on 220kV</t>
  </si>
  <si>
    <t xml:space="preserve">ACSR std params × 70km / 2ckt on 220kV</t>
  </si>
  <si>
    <t xml:space="preserve">ACSR std params × 80km / 2ckt on 220kV</t>
  </si>
  <si>
    <t xml:space="preserve">ACSR std params × 30km / 2ckt on 220kV</t>
  </si>
  <si>
    <t xml:space="preserve">ACSR std params × 25km / 2ckt on 220kV</t>
  </si>
  <si>
    <t xml:space="preserve">ACSR std params × 90km / 2ckt on 220kV</t>
  </si>
  <si>
    <t xml:space="preserve">ACSR std params × 40km / 2ckt on 220kV</t>
  </si>
  <si>
    <t xml:space="preserve">ACSR std params × 55km / 2ckt on 220kV</t>
  </si>
  <si>
    <t xml:space="preserve">ACSR std params × 65km / 2ckt on 220kV</t>
  </si>
  <si>
    <t xml:space="preserve">ACSR std params × 55km / 1ckt on 220kV</t>
  </si>
  <si>
    <t xml:space="preserve">ACSR std params × 30km / 4ckt on 220kV</t>
  </si>
  <si>
    <t xml:space="preserve">ACSR std params × 50km / 2ckt on 220kV</t>
  </si>
  <si>
    <t xml:space="preserve">ACSR std params × 60km / 4ckt on 220kV</t>
  </si>
  <si>
    <t xml:space="preserve">ACSR std params × 65km / 4ckt on 220kV</t>
  </si>
  <si>
    <t xml:space="preserve">ACSR std params × 15km / 4ckt on 220kV</t>
  </si>
  <si>
    <t xml:space="preserve">ACSR std params × 110km / 2ckt on 220kV</t>
  </si>
  <si>
    <t xml:space="preserve">ACSR std params × 50km / 4ckt on 220kV</t>
  </si>
  <si>
    <t xml:space="preserve">ACSR std params × 55km / 4ckt on 220kV</t>
  </si>
  <si>
    <t xml:space="preserve">ACSR std params × 15km / 2ckt on 220kV</t>
  </si>
  <si>
    <t xml:space="preserve">ACSR std params × 20km / 2ckt on 220kV</t>
  </si>
  <si>
    <t xml:space="preserve">ACSR std params × 10km / 2ckt on 220kV</t>
  </si>
  <si>
    <t xml:space="preserve">ACSR std params × 45km / 2ckt on 220kV</t>
  </si>
  <si>
    <t xml:space="preserve">ACSR std params × 35km / 2ckt on 220kV</t>
  </si>
  <si>
    <t xml:space="preserve">NAGDA MP</t>
  </si>
  <si>
    <t xml:space="preserve">ACSR std params × 180km / 2ckt on 220kV</t>
  </si>
  <si>
    <t xml:space="preserve">UNIT COMMITMENT PARAMETERS  |  🟠 PROXY + 🔴 REPR  |  Derived from CERC tariff + CEA oil norms</t>
  </si>
  <si>
    <t xml:space="preserve">DATA AUTHENTICITY:  🟢 AUTH = Official source / uploaded doc  |  🟡 DERIV = Calculated from authentic data  |  🟠 PROXY = Regulatory norm (CEA/CERC/IEA) — valid but not unit-specific  |  🔴 REPR = Reproduced by engineering judgment — MUST BE VERIFIED before GAMS use
CALCULATION BASIS: No-load cost = Fixed charge (Rs/MW/hr from GERC tariff) × Pmin. Cold start cost = Pmin × MUT hrs × VC (Rs/kWh×1000) + Oil cost [5 kl/200MW × Rs65,000/kl × (Pmin/200)]. Warm = 50% of cold. Hot = 15% of cold. Fixed charge proxy: Subcritical coal Rs 250/MW/hr, SC coal Rs 200/MW/hr, Lignite Rs 240/MW/hr, Gas CCGT Rs 150/MW/hr. MUT/MDT from CEA norms (Sheet 16). Variable costs from merit order (Sheet 3). MUST VERIFY with GSECL/IPP.</t>
  </si>
  <si>
    <t xml:space="preserve">UNIT COMMITMENT PARAMETERS — Gujarat Thermal Units</t>
  </si>
  <si>
    <t xml:space="preserve">Inst
(MW)</t>
  </si>
  <si>
    <t xml:space="preserve">Pmin
(MW)</t>
  </si>
  <si>
    <t xml:space="preserve">VC
(Rs/kWh)
🟢AUTH</t>
  </si>
  <si>
    <t xml:space="preserve">Fixed Cost
(Rs/MW/hr)
🟠PROXY</t>
  </si>
  <si>
    <t xml:space="preserve">No-Load
Cost(Rs/hr)
🟠PROXY</t>
  </si>
  <si>
    <t xml:space="preserve">Cold Start
(Rs)
🔴REPR</t>
  </si>
  <si>
    <t xml:space="preserve">Warm Start
(Rs)
🔴REPR</t>
  </si>
  <si>
    <t xml:space="preserve">Hot Start
(Rs)
🔴REPR</t>
  </si>
  <si>
    <t xml:space="preserve">MUT
(hr)
🟠PROXY</t>
  </si>
  <si>
    <t xml:space="preserve">MDT
(hr)
🟠PROXY</t>
  </si>
  <si>
    <t xml:space="preserve">SLPP GIPCL</t>
  </si>
  <si>
    <t xml:space="preserve">AKRIMOTA BECL</t>
  </si>
  <si>
    <t xml:space="preserve">APL MUNDRA Stg1</t>
  </si>
  <si>
    <t xml:space="preserve">APL MUNDRA Stg2</t>
  </si>
  <si>
    <t xml:space="preserve">EPGL Essar</t>
  </si>
  <si>
    <t xml:space="preserve">Block</t>
  </si>
  <si>
    <t xml:space="preserve">30%×Inst</t>
  </si>
  <si>
    <t xml:space="preserve">GAS NOMINATION TIERS  |  🔴 REPR (volumes) + 🟢 AUTH (prices from merit order)</t>
  </si>
  <si>
    <t xml:space="preserve">DATA AUTHENTICITY:  🟢 AUTH = Official source / uploaded doc  |  🟡 DERIV = Calculated from authentic data  |  🟠 PROXY = Regulatory norm (CEA/CERC/IEA) — valid but not unit-specific  |  🔴 REPR = Reproduced by engineering judgment — MUST BE VERIFIED before GAMS use
THIS SHEET: Gas prices are 🟢 AUTH from SLDC Merit Order PDF (02-Jun-2026). Daily volumes REPRODUCED: APM/RLNG allocation estimated from plant PLF and PNGRB norms. Heat value assumed 8,500 kcal/SCM (typical Indian natural gas). HR assumed 1,900 kcal/kWh (CCGT). Volume = Pmin_MW × 24h × HR_kcal/kWh × 1000 / HV_kcal/SCM / 1e6 MMSCMD. ACTUAL volumes must come from GAIL/GSPC daily nominations.</t>
  </si>
  <si>
    <t xml:space="preserve">GAS SUPPLY TIERS — All Gujarat Gas Plants</t>
  </si>
  <si>
    <t xml:space="preserve">Plant</t>
  </si>
  <si>
    <t xml:space="preserve">Owner</t>
  </si>
  <si>
    <t xml:space="preserve">Cap
(MW)</t>
  </si>
  <si>
    <t xml:space="preserve">Tier</t>
  </si>
  <si>
    <t xml:space="preserve">Gas Source</t>
  </si>
  <si>
    <t xml:space="preserve">Price
(Rs/kWh)
🟢AUTH</t>
  </si>
  <si>
    <t xml:space="preserve">Daily Vol
(MMSCMD)
🔴REPR</t>
  </si>
  <si>
    <t xml:space="preserve">Active
30-May-26</t>
  </si>
  <si>
    <t xml:space="preserve">Merit
Rank</t>
  </si>
  <si>
    <t xml:space="preserve">KAWAS NTPC</t>
  </si>
  <si>
    <t xml:space="preserve">APM</t>
  </si>
  <si>
    <t xml:space="preserve">GAIL APM</t>
  </si>
  <si>
    <t xml:space="preserve">No (0 MW)</t>
  </si>
  <si>
    <t xml:space="preserve">🟢AUTH price/🔴REPR vol</t>
  </si>
  <si>
    <t xml:space="preserve">Central; Jhanor same tier</t>
  </si>
  <si>
    <t xml:space="preserve">Non-APM</t>
  </si>
  <si>
    <t xml:space="preserve">GAIL Non-APM</t>
  </si>
  <si>
    <t xml:space="preserve">No</t>
  </si>
  <si>
    <t xml:space="preserve">🟢/🔴</t>
  </si>
  <si>
    <t xml:space="preserve">Long-term RLNG</t>
  </si>
  <si>
    <t xml:space="preserve">Comm.RLNG</t>
  </si>
  <si>
    <t xml:space="preserve">Spot RLNG</t>
  </si>
  <si>
    <t xml:space="preserve">Liquid</t>
  </si>
  <si>
    <t xml:space="preserve">LSHS/HSD</t>
  </si>
  <si>
    <t xml:space="preserve">Emergency</t>
  </si>
  <si>
    <t xml:space="preserve">Backup fuel</t>
  </si>
  <si>
    <t xml:space="preserve">JHANOR NTPC</t>
  </si>
  <si>
    <t xml:space="preserve">Limited</t>
  </si>
  <si>
    <t xml:space="preserve">SUGEN Torrent</t>
  </si>
  <si>
    <t xml:space="preserve">Contract</t>
  </si>
  <si>
    <t xml:space="preserve">GSPC/GAIL</t>
  </si>
  <si>
    <t xml:space="preserve">Yes 648MW</t>
  </si>
  <si>
    <t xml:space="preserve">Active 30-May</t>
  </si>
  <si>
    <t xml:space="preserve">High Sea</t>
  </si>
  <si>
    <t xml:space="preserve">Spot LNG Dahej</t>
  </si>
  <si>
    <t xml:space="preserve">Minimal</t>
  </si>
  <si>
    <t xml:space="preserve">GSPC Spot</t>
  </si>
  <si>
    <t xml:space="preserve">UNOSUGEN Torrent</t>
  </si>
  <si>
    <t xml:space="preserve">GAIL/GSPC</t>
  </si>
  <si>
    <t xml:space="preserve">Yes (must-run)</t>
  </si>
  <si>
    <t xml:space="preserve">Must-run basis</t>
  </si>
  <si>
    <t xml:space="preserve">DHUVARAN-II GSECL</t>
  </si>
  <si>
    <t xml:space="preserve">ONGC WO</t>
  </si>
  <si>
    <t xml:space="preserve">ONGC wellhead gas</t>
  </si>
  <si>
    <t xml:space="preserve">Spot LNG</t>
  </si>
  <si>
    <t xml:space="preserve">DHUVARAN-III GSECL</t>
  </si>
  <si>
    <t xml:space="preserve">UTRAN GSECL</t>
  </si>
  <si>
    <t xml:space="preserve">GSEG GSPC</t>
  </si>
  <si>
    <t xml:space="preserve">GPPC GSPC</t>
  </si>
</sst>
</file>

<file path=xl/styles.xml><?xml version="1.0" encoding="utf-8"?>
<styleSheet xmlns="http://schemas.openxmlformats.org/spreadsheetml/2006/main">
  <numFmts count="11">
    <numFmt numFmtId="164" formatCode="General"/>
    <numFmt numFmtId="165" formatCode="#,##0.00"/>
    <numFmt numFmtId="166" formatCode="@"/>
    <numFmt numFmtId="167" formatCode="0.00"/>
    <numFmt numFmtId="168" formatCode="#,##0"/>
    <numFmt numFmtId="169" formatCode="0.000"/>
    <numFmt numFmtId="170" formatCode="0.0"/>
    <numFmt numFmtId="171" formatCode="0.0%"/>
    <numFmt numFmtId="172" formatCode="#,##0.000"/>
    <numFmt numFmtId="173" formatCode="0"/>
    <numFmt numFmtId="174" formatCode="0.000000"/>
  </numFmts>
  <fonts count="17">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color rgb="FFFFFFFF"/>
      <name val="Arial"/>
      <family val="0"/>
      <charset val="1"/>
    </font>
    <font>
      <sz val="9"/>
      <name val="Arial"/>
      <family val="0"/>
      <charset val="1"/>
    </font>
    <font>
      <b val="true"/>
      <sz val="11"/>
      <color rgb="FFFFFFFF"/>
      <name val="Arial"/>
      <family val="0"/>
      <charset val="1"/>
    </font>
    <font>
      <b val="true"/>
      <sz val="9"/>
      <name val="Arial"/>
      <family val="0"/>
      <charset val="1"/>
    </font>
    <font>
      <i val="true"/>
      <sz val="8"/>
      <name val="Arial"/>
      <family val="0"/>
      <charset val="1"/>
    </font>
    <font>
      <i val="true"/>
      <sz val="9"/>
      <color rgb="FFC55A11"/>
      <name val="Arial"/>
      <family val="0"/>
      <charset val="1"/>
    </font>
    <font>
      <b val="true"/>
      <sz val="9"/>
      <color rgb="FFC55A11"/>
      <name val="Arial"/>
      <family val="0"/>
      <charset val="1"/>
    </font>
    <font>
      <b val="true"/>
      <sz val="12"/>
      <color rgb="FFFFFFFF"/>
      <name val="Arial"/>
      <family val="0"/>
      <charset val="1"/>
    </font>
    <font>
      <b val="true"/>
      <sz val="9"/>
      <color rgb="FF1F4E79"/>
      <name val="Arial"/>
      <family val="0"/>
      <charset val="1"/>
    </font>
    <font>
      <i val="true"/>
      <sz val="9"/>
      <name val="Arial"/>
      <family val="0"/>
      <charset val="1"/>
    </font>
    <font>
      <sz val="8"/>
      <name val="Courier New"/>
      <family val="0"/>
      <charset val="1"/>
    </font>
    <font>
      <b val="true"/>
      <sz val="9"/>
      <color rgb="FFFF0000"/>
      <name val="Arial"/>
      <family val="0"/>
      <charset val="1"/>
    </font>
  </fonts>
  <fills count="27">
    <fill>
      <patternFill patternType="none"/>
    </fill>
    <fill>
      <patternFill patternType="gray125"/>
    </fill>
    <fill>
      <patternFill patternType="solid">
        <fgColor rgb="FF1F4E79"/>
        <bgColor rgb="FF003366"/>
      </patternFill>
    </fill>
    <fill>
      <patternFill patternType="solid">
        <fgColor rgb="FFF2F2F2"/>
        <bgColor rgb="FFFFF5F0"/>
      </patternFill>
    </fill>
    <fill>
      <patternFill patternType="solid">
        <fgColor rgb="FFFFFFFF"/>
        <bgColor rgb="FFFFF5F0"/>
      </patternFill>
    </fill>
    <fill>
      <patternFill patternType="solid">
        <fgColor rgb="FF2E75B6"/>
        <bgColor rgb="FF0066CC"/>
      </patternFill>
    </fill>
    <fill>
      <patternFill patternType="solid">
        <fgColor rgb="FFFCE4D6"/>
        <bgColor rgb="FFFFF2CC"/>
      </patternFill>
    </fill>
    <fill>
      <patternFill patternType="solid">
        <fgColor rgb="FFE2EFDA"/>
        <bgColor rgb="FFDDEBF7"/>
      </patternFill>
    </fill>
    <fill>
      <patternFill patternType="solid">
        <fgColor rgb="FFDDEBF7"/>
        <bgColor rgb="FFD6E4F0"/>
      </patternFill>
    </fill>
    <fill>
      <patternFill patternType="solid">
        <fgColor rgb="FFFFF2CC"/>
        <bgColor rgb="FFFFFACD"/>
      </patternFill>
    </fill>
    <fill>
      <patternFill patternType="solid">
        <fgColor rgb="FFD6E4F0"/>
        <bgColor rgb="FFDDEBF7"/>
      </patternFill>
    </fill>
    <fill>
      <patternFill patternType="solid">
        <fgColor rgb="FFF4CCCC"/>
        <bgColor rgb="FFFFCCCC"/>
      </patternFill>
    </fill>
    <fill>
      <patternFill patternType="solid">
        <fgColor rgb="FFC6EFCE"/>
        <bgColor rgb="FFE2EFDA"/>
      </patternFill>
    </fill>
    <fill>
      <patternFill patternType="solid">
        <fgColor rgb="FFC55A11"/>
        <bgColor rgb="FF843C0C"/>
      </patternFill>
    </fill>
    <fill>
      <patternFill patternType="solid">
        <fgColor rgb="FFFFC000"/>
        <bgColor rgb="FFFF9900"/>
      </patternFill>
    </fill>
    <fill>
      <patternFill patternType="solid">
        <fgColor rgb="FF843C0C"/>
        <bgColor rgb="FF993366"/>
      </patternFill>
    </fill>
    <fill>
      <patternFill patternType="solid">
        <fgColor rgb="FFFF0000"/>
        <bgColor rgb="FF800000"/>
      </patternFill>
    </fill>
    <fill>
      <patternFill patternType="solid">
        <fgColor rgb="FF92D050"/>
        <bgColor rgb="FFBFBFBF"/>
      </patternFill>
    </fill>
    <fill>
      <patternFill patternType="solid">
        <fgColor rgb="FF375623"/>
        <bgColor rgb="FF333300"/>
      </patternFill>
    </fill>
    <fill>
      <patternFill patternType="solid">
        <fgColor rgb="FFFFCCCC"/>
        <bgColor rgb="FFF4CCCC"/>
      </patternFill>
    </fill>
    <fill>
      <patternFill patternType="solid">
        <fgColor rgb="FFFF9900"/>
        <bgColor rgb="FFFFC000"/>
      </patternFill>
    </fill>
    <fill>
      <patternFill patternType="solid">
        <fgColor rgb="FFD9D9D9"/>
        <bgColor rgb="FFEAD1DC"/>
      </patternFill>
    </fill>
    <fill>
      <patternFill patternType="solid">
        <fgColor rgb="FFEAD1DC"/>
        <bgColor rgb="FFF4CCCC"/>
      </patternFill>
    </fill>
    <fill>
      <patternFill patternType="solid">
        <fgColor rgb="FFFFF5F0"/>
        <bgColor rgb="FFF2F2F2"/>
      </patternFill>
    </fill>
    <fill>
      <patternFill patternType="solid">
        <fgColor rgb="FFFFFACD"/>
        <bgColor rgb="FFFFF2CC"/>
      </patternFill>
    </fill>
    <fill>
      <patternFill patternType="solid">
        <fgColor rgb="FFFFE0B2"/>
        <bgColor rgb="FFFCE4D6"/>
      </patternFill>
    </fill>
    <fill>
      <patternFill patternType="solid">
        <fgColor rgb="FFF0E68C"/>
        <bgColor rgb="FFFFE0B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5" fillId="2" borderId="2"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10"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5" fontId="8" fillId="5" borderId="1" xfId="0" applyFont="true" applyBorder="true" applyAlignment="true" applyProtection="false">
      <alignment horizontal="right" vertical="center" textRotation="0" wrapText="tru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right"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7" fontId="6" fillId="8" borderId="1" xfId="0" applyFont="true" applyBorder="true" applyAlignment="true" applyProtection="false">
      <alignment horizontal="right" vertical="center" textRotation="0" wrapText="true" indent="0" shrinkToFit="false"/>
      <protection locked="true" hidden="false"/>
    </xf>
    <xf numFmtId="167" fontId="6" fillId="9" borderId="1" xfId="0" applyFont="true" applyBorder="true" applyAlignment="true" applyProtection="false">
      <alignment horizontal="right" vertical="center" textRotation="0" wrapText="true" indent="0" shrinkToFit="false"/>
      <protection locked="true" hidden="false"/>
    </xf>
    <xf numFmtId="167" fontId="6" fillId="6" borderId="1" xfId="0" applyFont="true" applyBorder="true" applyAlignment="true" applyProtection="false">
      <alignment horizontal="right" vertical="center" textRotation="0" wrapText="true" indent="0" shrinkToFit="false"/>
      <protection locked="true" hidden="false"/>
    </xf>
    <xf numFmtId="167" fontId="6" fillId="11" borderId="1" xfId="0" applyFont="true" applyBorder="true" applyAlignment="true" applyProtection="false">
      <alignment horizontal="right" vertical="center" textRotation="0" wrapText="true" indent="0" shrinkToFit="false"/>
      <protection locked="true" hidden="false"/>
    </xf>
    <xf numFmtId="167" fontId="6" fillId="7" borderId="1" xfId="0" applyFont="true" applyBorder="true" applyAlignment="true" applyProtection="false">
      <alignment horizontal="right" vertical="center" textRotation="0" wrapText="true" indent="0" shrinkToFit="false"/>
      <protection locked="true" hidden="false"/>
    </xf>
    <xf numFmtId="168" fontId="6" fillId="0" borderId="1" xfId="0" applyFont="true" applyBorder="true" applyAlignment="true" applyProtection="false">
      <alignment horizontal="right" vertical="center" textRotation="0" wrapText="true" indent="0" shrinkToFit="false"/>
      <protection locked="true" hidden="false"/>
    </xf>
    <xf numFmtId="167" fontId="6" fillId="0" borderId="1" xfId="0" applyFont="true" applyBorder="true" applyAlignment="true" applyProtection="false">
      <alignment horizontal="right" vertical="center" textRotation="0" wrapText="true" indent="0" shrinkToFit="false"/>
      <protection locked="true" hidden="false"/>
    </xf>
    <xf numFmtId="164" fontId="8" fillId="5" borderId="1" xfId="0" applyFont="true" applyBorder="true" applyAlignment="true" applyProtection="false">
      <alignment horizontal="right" vertical="center" textRotation="0" wrapText="true" indent="0" shrinkToFit="false"/>
      <protection locked="true" hidden="false"/>
    </xf>
    <xf numFmtId="168" fontId="8" fillId="5" borderId="1" xfId="0" applyFont="true" applyBorder="true" applyAlignment="true" applyProtection="false">
      <alignment horizontal="right" vertical="center" textRotation="0" wrapText="true" indent="0" shrinkToFit="false"/>
      <protection locked="true" hidden="false"/>
    </xf>
    <xf numFmtId="169" fontId="6" fillId="0" borderId="1" xfId="0" applyFont="true" applyBorder="true" applyAlignment="true" applyProtection="false">
      <alignment horizontal="right" vertical="center" textRotation="0" wrapText="true" indent="0" shrinkToFit="false"/>
      <protection locked="true" hidden="false"/>
    </xf>
    <xf numFmtId="168" fontId="6" fillId="3" borderId="1" xfId="0" applyFont="true" applyBorder="true" applyAlignment="true" applyProtection="false">
      <alignment horizontal="right" vertical="center" textRotation="0" wrapText="true" indent="0" shrinkToFit="false"/>
      <protection locked="true" hidden="false"/>
    </xf>
    <xf numFmtId="169" fontId="6" fillId="3" borderId="1" xfId="0" applyFont="true" applyBorder="true" applyAlignment="true" applyProtection="false">
      <alignment horizontal="righ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0" shrinkToFit="false"/>
      <protection locked="true" hidden="false"/>
    </xf>
    <xf numFmtId="164" fontId="6" fillId="12" borderId="1" xfId="0" applyFont="true" applyBorder="true" applyAlignment="true" applyProtection="false">
      <alignment horizontal="left" vertical="center" textRotation="0" wrapText="true" indent="0" shrinkToFit="false"/>
      <protection locked="true" hidden="false"/>
    </xf>
    <xf numFmtId="168" fontId="6" fillId="12" borderId="1" xfId="0" applyFont="true" applyBorder="true" applyAlignment="true" applyProtection="false">
      <alignment horizontal="right" vertical="center" textRotation="0" wrapText="true" indent="0" shrinkToFit="false"/>
      <protection locked="true" hidden="false"/>
    </xf>
    <xf numFmtId="169" fontId="6" fillId="12" borderId="1" xfId="0" applyFont="true" applyBorder="true" applyAlignment="true" applyProtection="false">
      <alignment horizontal="right"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9" fillId="12" borderId="1" xfId="0" applyFont="true" applyBorder="true" applyAlignment="true" applyProtection="false">
      <alignment horizontal="left" vertical="center" textRotation="0" wrapText="true" indent="0" shrinkToFit="false"/>
      <protection locked="true" hidden="false"/>
    </xf>
    <xf numFmtId="164" fontId="7" fillId="13" borderId="0" xfId="0" applyFont="true" applyBorder="true" applyAlignment="true" applyProtection="false">
      <alignment horizontal="center" vertical="center" textRotation="0" wrapText="false" indent="0" shrinkToFit="false"/>
      <protection locked="true" hidden="false"/>
    </xf>
    <xf numFmtId="164" fontId="10" fillId="6" borderId="0" xfId="0" applyFont="true" applyBorder="true" applyAlignment="true" applyProtection="false">
      <alignment horizontal="left" vertical="center" textRotation="0" wrapText="true" indent="0" shrinkToFit="false"/>
      <protection locked="true" hidden="false"/>
    </xf>
    <xf numFmtId="170" fontId="0" fillId="6" borderId="1" xfId="0" applyFont="false" applyBorder="true" applyAlignment="true" applyProtection="false">
      <alignment horizontal="right" vertical="center" textRotation="0" wrapText="false" indent="0" shrinkToFit="false"/>
      <protection locked="true" hidden="false"/>
    </xf>
    <xf numFmtId="164" fontId="11" fillId="14" borderId="1" xfId="0" applyFont="true" applyBorder="true" applyAlignment="true" applyProtection="false">
      <alignment horizontal="left" vertical="center" textRotation="0" wrapText="true" indent="0" shrinkToFit="false"/>
      <protection locked="true" hidden="false"/>
    </xf>
    <xf numFmtId="170" fontId="0" fillId="11" borderId="1" xfId="0" applyFont="false" applyBorder="true" applyAlignment="true" applyProtection="false">
      <alignment horizontal="right" vertical="center" textRotation="0" wrapText="false" indent="0" shrinkToFit="false"/>
      <protection locked="true" hidden="false"/>
    </xf>
    <xf numFmtId="170" fontId="0" fillId="7" borderId="1" xfId="0" applyFont="false" applyBorder="true" applyAlignment="true" applyProtection="false">
      <alignment horizontal="right" vertical="center" textRotation="0" wrapText="false" indent="0" shrinkToFit="false"/>
      <protection locked="true" hidden="false"/>
    </xf>
    <xf numFmtId="170" fontId="0" fillId="8" borderId="1" xfId="0" applyFont="false" applyBorder="true" applyAlignment="true" applyProtection="false">
      <alignment horizontal="right" vertical="center" textRotation="0" wrapText="false" indent="0" shrinkToFit="false"/>
      <protection locked="true" hidden="false"/>
    </xf>
    <xf numFmtId="164" fontId="12" fillId="15" borderId="0"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5" fillId="16"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center" vertical="center" textRotation="0" wrapText="false" indent="0" shrinkToFit="false"/>
      <protection locked="true" hidden="false"/>
    </xf>
    <xf numFmtId="164" fontId="5" fillId="14" borderId="1" xfId="0" applyFont="true" applyBorder="true" applyAlignment="true" applyProtection="false">
      <alignment horizontal="center"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false" indent="0" shrinkToFit="false"/>
      <protection locked="true" hidden="false"/>
    </xf>
    <xf numFmtId="164" fontId="8" fillId="17" borderId="1" xfId="0" applyFont="true" applyBorder="true" applyAlignment="true" applyProtection="false">
      <alignment horizontal="center" vertical="center" textRotation="0" wrapText="false" indent="0" shrinkToFit="false"/>
      <protection locked="true" hidden="false"/>
    </xf>
    <xf numFmtId="164" fontId="5" fillId="17" borderId="1" xfId="0" applyFont="true" applyBorder="true" applyAlignment="true" applyProtection="false">
      <alignment horizontal="center" vertical="center" textRotation="0" wrapText="true" indent="0" shrinkToFit="false"/>
      <protection locked="true" hidden="false"/>
    </xf>
    <xf numFmtId="164" fontId="5" fillId="18" borderId="2" xfId="0" applyFont="true" applyBorder="true" applyAlignment="true" applyProtection="false">
      <alignment horizontal="left" vertical="center" textRotation="0" wrapText="true" indent="0" shrinkToFit="false"/>
      <protection locked="true" hidden="false"/>
    </xf>
    <xf numFmtId="164" fontId="5" fillId="5" borderId="2" xfId="0" applyFont="true" applyBorder="true" applyAlignment="true" applyProtection="false">
      <alignment horizontal="left" vertical="center" textRotation="0" wrapText="true" indent="0" shrinkToFit="false"/>
      <protection locked="true" hidden="false"/>
    </xf>
    <xf numFmtId="165" fontId="6" fillId="6" borderId="1" xfId="0" applyFont="true" applyBorder="true" applyAlignment="true" applyProtection="false">
      <alignment horizontal="right" vertical="center" textRotation="0" wrapText="true" indent="0" shrinkToFit="false"/>
      <protection locked="true" hidden="false"/>
    </xf>
    <xf numFmtId="168" fontId="6" fillId="6" borderId="1" xfId="0" applyFont="true" applyBorder="true" applyAlignment="true" applyProtection="false">
      <alignment horizontal="right" vertical="center" textRotation="0" wrapText="true" indent="0" shrinkToFit="false"/>
      <protection locked="true" hidden="false"/>
    </xf>
    <xf numFmtId="165" fontId="6" fillId="7" borderId="1" xfId="0" applyFont="true" applyBorder="true" applyAlignment="true" applyProtection="false">
      <alignment horizontal="right" vertical="center" textRotation="0" wrapText="true" indent="0" shrinkToFit="false"/>
      <protection locked="true" hidden="false"/>
    </xf>
    <xf numFmtId="168" fontId="6" fillId="7" borderId="1" xfId="0" applyFont="true" applyBorder="true" applyAlignment="true" applyProtection="false">
      <alignment horizontal="right" vertical="center" textRotation="0" wrapText="true" indent="0" shrinkToFit="false"/>
      <protection locked="true" hidden="false"/>
    </xf>
    <xf numFmtId="165" fontId="6" fillId="8" borderId="1" xfId="0" applyFont="true" applyBorder="true" applyAlignment="true" applyProtection="false">
      <alignment horizontal="right" vertical="center" textRotation="0" wrapText="true" indent="0" shrinkToFit="false"/>
      <protection locked="true" hidden="false"/>
    </xf>
    <xf numFmtId="168" fontId="6" fillId="8" borderId="1" xfId="0" applyFont="true" applyBorder="true" applyAlignment="true" applyProtection="false">
      <alignment horizontal="right" vertical="center" textRotation="0" wrapText="true" indent="0" shrinkToFit="false"/>
      <protection locked="true" hidden="false"/>
    </xf>
    <xf numFmtId="165" fontId="6" fillId="12" borderId="1" xfId="0" applyFont="true" applyBorder="true" applyAlignment="true" applyProtection="false">
      <alignment horizontal="right" vertical="center"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4" fontId="13" fillId="8" borderId="2" xfId="0" applyFont="true" applyBorder="true" applyAlignment="true" applyProtection="false">
      <alignment horizontal="left" vertical="center" textRotation="0" wrapText="true" indent="0" shrinkToFit="false"/>
      <protection locked="true" hidden="false"/>
    </xf>
    <xf numFmtId="168" fontId="6" fillId="9" borderId="1" xfId="0" applyFont="true" applyBorder="true" applyAlignment="true" applyProtection="false">
      <alignment horizontal="right" vertical="center" textRotation="0" wrapText="true" indent="0" shrinkToFit="false"/>
      <protection locked="true" hidden="false"/>
    </xf>
    <xf numFmtId="165" fontId="6" fillId="9" borderId="1" xfId="0" applyFont="true" applyBorder="true" applyAlignment="true" applyProtection="false">
      <alignment horizontal="right" vertical="center" textRotation="0" wrapText="true" indent="0" shrinkToFit="false"/>
      <protection locked="true" hidden="false"/>
    </xf>
    <xf numFmtId="166" fontId="6" fillId="14" borderId="1" xfId="0" applyFont="true" applyBorder="true" applyAlignment="true" applyProtection="false">
      <alignment horizontal="right"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false" indent="0" shrinkToFit="false"/>
      <protection locked="true" hidden="false"/>
    </xf>
    <xf numFmtId="166" fontId="8" fillId="3" borderId="1" xfId="0" applyFont="true" applyBorder="true" applyAlignment="true" applyProtection="false">
      <alignment horizontal="left" vertical="center" textRotation="0" wrapText="true" indent="0" shrinkToFit="false"/>
      <protection locked="true" hidden="false"/>
    </xf>
    <xf numFmtId="165" fontId="6" fillId="3" borderId="1" xfId="0" applyFont="true" applyBorder="true" applyAlignment="true" applyProtection="false">
      <alignment horizontal="center" vertical="center" textRotation="0" wrapText="true" indent="0" shrinkToFit="false"/>
      <protection locked="true" hidden="false"/>
    </xf>
    <xf numFmtId="166" fontId="6" fillId="3" borderId="1" xfId="0" applyFont="true" applyBorder="true" applyAlignment="true" applyProtection="false">
      <alignment horizontal="center" vertical="center" textRotation="0" wrapText="true" indent="0" shrinkToFit="false"/>
      <protection locked="true" hidden="false"/>
    </xf>
    <xf numFmtId="166" fontId="8" fillId="4" borderId="1" xfId="0" applyFont="true" applyBorder="true" applyAlignment="true" applyProtection="false">
      <alignment horizontal="left" vertical="center" textRotation="0" wrapText="true" indent="0" shrinkToFit="false"/>
      <protection locked="true" hidden="false"/>
    </xf>
    <xf numFmtId="165" fontId="6" fillId="4" borderId="1" xfId="0" applyFont="true" applyBorder="true" applyAlignment="true" applyProtection="false">
      <alignment horizontal="center" vertical="center" textRotation="0" wrapText="true" indent="0" shrinkToFit="false"/>
      <protection locked="true" hidden="false"/>
    </xf>
    <xf numFmtId="166" fontId="6" fillId="4" borderId="1" xfId="0" applyFont="true" applyBorder="true" applyAlignment="true" applyProtection="false">
      <alignment horizontal="center" vertical="center" textRotation="0" wrapText="true" indent="0" shrinkToFit="false"/>
      <protection locked="true" hidden="false"/>
    </xf>
    <xf numFmtId="171" fontId="0" fillId="6" borderId="1" xfId="0" applyFont="fals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left" vertical="center" textRotation="0" wrapText="true" indent="0" shrinkToFit="false"/>
      <protection locked="true" hidden="false"/>
    </xf>
    <xf numFmtId="171" fontId="0" fillId="7" borderId="1" xfId="0" applyFont="fals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71" fontId="0" fillId="8" borderId="1" xfId="0" applyFont="fals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true" indent="0" shrinkToFit="false"/>
      <protection locked="true" hidden="false"/>
    </xf>
    <xf numFmtId="171" fontId="0" fillId="12" borderId="1" xfId="0" applyFont="false" applyBorder="true" applyAlignment="true" applyProtection="false">
      <alignment horizontal="center" vertical="center" textRotation="0" wrapText="false" indent="0" shrinkToFit="false"/>
      <protection locked="true" hidden="false"/>
    </xf>
    <xf numFmtId="164" fontId="0" fillId="5" borderId="1" xfId="0" applyFont="true" applyBorder="true" applyAlignment="true" applyProtection="false">
      <alignment horizontal="center" vertical="center" textRotation="0" wrapText="false" indent="0" shrinkToFit="false"/>
      <protection locked="true" hidden="false"/>
    </xf>
    <xf numFmtId="164" fontId="5" fillId="13" borderId="0" xfId="0" applyFont="true" applyBorder="true" applyAlignment="true" applyProtection="false">
      <alignment horizontal="left" vertical="center" textRotation="0" wrapText="false" indent="0" shrinkToFit="false"/>
      <protection locked="true" hidden="false"/>
    </xf>
    <xf numFmtId="164" fontId="8" fillId="14" borderId="1" xfId="0" applyFont="true" applyBorder="true" applyAlignment="true" applyProtection="false">
      <alignment horizontal="left" vertical="center" textRotation="0" wrapText="true" indent="0" shrinkToFit="false"/>
      <protection locked="true" hidden="false"/>
    </xf>
    <xf numFmtId="168" fontId="6" fillId="14" borderId="1" xfId="0" applyFont="true" applyBorder="true" applyAlignment="true" applyProtection="false">
      <alignment horizontal="right" vertical="center" textRotation="0" wrapText="true" indent="0" shrinkToFit="false"/>
      <protection locked="true" hidden="false"/>
    </xf>
    <xf numFmtId="165" fontId="6" fillId="14" borderId="1" xfId="0" applyFont="true" applyBorder="true" applyAlignment="true" applyProtection="false">
      <alignment horizontal="right" vertical="center" textRotation="0" wrapText="true" indent="0" shrinkToFit="false"/>
      <protection locked="true" hidden="false"/>
    </xf>
    <xf numFmtId="164" fontId="6" fillId="14" borderId="1" xfId="0" applyFont="true" applyBorder="true" applyAlignment="true" applyProtection="false">
      <alignment horizontal="left" vertical="center" textRotation="0" wrapText="true" indent="0" shrinkToFit="false"/>
      <protection locked="true" hidden="false"/>
    </xf>
    <xf numFmtId="164" fontId="8" fillId="19" borderId="1" xfId="0" applyFont="true" applyBorder="true" applyAlignment="true" applyProtection="false">
      <alignment horizontal="left" vertical="center" textRotation="0" wrapText="true" indent="0" shrinkToFit="false"/>
      <protection locked="true" hidden="false"/>
    </xf>
    <xf numFmtId="168" fontId="6" fillId="19" borderId="1" xfId="0" applyFont="true" applyBorder="true" applyAlignment="true" applyProtection="false">
      <alignment horizontal="right" vertical="center" textRotation="0" wrapText="true" indent="0" shrinkToFit="false"/>
      <protection locked="true" hidden="false"/>
    </xf>
    <xf numFmtId="165" fontId="6" fillId="19" borderId="1" xfId="0" applyFont="true" applyBorder="true" applyAlignment="true" applyProtection="false">
      <alignment horizontal="right" vertical="center" textRotation="0" wrapText="true" indent="0" shrinkToFit="false"/>
      <protection locked="true" hidden="false"/>
    </xf>
    <xf numFmtId="164" fontId="6" fillId="19" borderId="1" xfId="0" applyFont="true" applyBorder="true" applyAlignment="true" applyProtection="false">
      <alignment horizontal="left" vertical="center" textRotation="0" wrapText="true" indent="0" shrinkToFit="false"/>
      <protection locked="true" hidden="false"/>
    </xf>
    <xf numFmtId="164" fontId="8" fillId="20" borderId="1" xfId="0" applyFont="true" applyBorder="true" applyAlignment="true" applyProtection="false">
      <alignment horizontal="left" vertical="center" textRotation="0" wrapText="true" indent="0" shrinkToFit="false"/>
      <protection locked="true" hidden="false"/>
    </xf>
    <xf numFmtId="166" fontId="6" fillId="20" borderId="1" xfId="0" applyFont="true" applyBorder="true" applyAlignment="true" applyProtection="false">
      <alignment horizontal="right" vertical="center" textRotation="0" wrapText="true" indent="0" shrinkToFit="false"/>
      <protection locked="true" hidden="false"/>
    </xf>
    <xf numFmtId="165" fontId="6" fillId="20" borderId="1" xfId="0" applyFont="true" applyBorder="true" applyAlignment="true" applyProtection="false">
      <alignment horizontal="right" vertical="center" textRotation="0" wrapText="true" indent="0" shrinkToFit="false"/>
      <protection locked="true" hidden="false"/>
    </xf>
    <xf numFmtId="164" fontId="6" fillId="20" borderId="1" xfId="0" applyFont="true" applyBorder="true" applyAlignment="true" applyProtection="false">
      <alignment horizontal="left" vertical="center" textRotation="0" wrapText="true" indent="0" shrinkToFit="false"/>
      <protection locked="true" hidden="false"/>
    </xf>
    <xf numFmtId="169" fontId="6" fillId="8" borderId="1" xfId="0" applyFont="true" applyBorder="true" applyAlignment="true" applyProtection="false">
      <alignment horizontal="right" vertical="center" textRotation="0" wrapText="true" indent="0" shrinkToFit="false"/>
      <protection locked="true" hidden="false"/>
    </xf>
    <xf numFmtId="172" fontId="6" fillId="8" borderId="1" xfId="0" applyFont="true" applyBorder="true" applyAlignment="true" applyProtection="false">
      <alignment horizontal="right"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72" fontId="6" fillId="3" borderId="1" xfId="0" applyFont="true" applyBorder="true" applyAlignment="true" applyProtection="false">
      <alignment horizontal="right" vertical="center" textRotation="0" wrapText="true" indent="0" shrinkToFit="false"/>
      <protection locked="true" hidden="false"/>
    </xf>
    <xf numFmtId="166" fontId="6" fillId="3" borderId="1" xfId="0" applyFont="true" applyBorder="true" applyAlignment="true" applyProtection="false">
      <alignment horizontal="right" vertical="center" textRotation="0" wrapText="true" indent="0" shrinkToFit="false"/>
      <protection locked="true" hidden="false"/>
    </xf>
    <xf numFmtId="165" fontId="6" fillId="3" borderId="1" xfId="0" applyFont="true" applyBorder="true" applyAlignment="true" applyProtection="false">
      <alignment horizontal="right" vertical="center" textRotation="0" wrapText="true" indent="0" shrinkToFit="false"/>
      <protection locked="true" hidden="false"/>
    </xf>
    <xf numFmtId="165" fontId="6" fillId="4" borderId="1" xfId="0" applyFont="true" applyBorder="true" applyAlignment="true" applyProtection="false">
      <alignment horizontal="right"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5" fillId="15"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3" borderId="2" xfId="0" applyFont="true" applyBorder="true" applyAlignment="true" applyProtection="false">
      <alignment horizontal="left" vertical="center" textRotation="0" wrapText="true" indent="0" shrinkToFit="false"/>
      <protection locked="true" hidden="false"/>
    </xf>
    <xf numFmtId="164" fontId="6" fillId="14" borderId="1" xfId="0" applyFont="true" applyBorder="true" applyAlignment="true" applyProtection="false">
      <alignment horizontal="center" vertical="center" textRotation="0" wrapText="true" indent="0" shrinkToFit="false"/>
      <protection locked="true" hidden="false"/>
    </xf>
    <xf numFmtId="164" fontId="6" fillId="14" borderId="2" xfId="0" applyFont="true" applyBorder="true" applyAlignment="true" applyProtection="false">
      <alignment horizontal="left" vertical="center" textRotation="0" wrapText="tru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6" fillId="21"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8" fillId="22" borderId="1" xfId="0" applyFont="true" applyBorder="true" applyAlignment="true" applyProtection="false">
      <alignment horizontal="left" vertical="center" textRotation="0" wrapText="true" indent="0" shrinkToFit="false"/>
      <protection locked="true" hidden="false"/>
    </xf>
    <xf numFmtId="164" fontId="6" fillId="22" borderId="1" xfId="0" applyFont="true" applyBorder="true" applyAlignment="true" applyProtection="false">
      <alignment horizontal="center" vertical="center" textRotation="0" wrapText="true" indent="0" shrinkToFit="false"/>
      <protection locked="true" hidden="false"/>
    </xf>
    <xf numFmtId="164" fontId="6" fillId="22" borderId="1" xfId="0" applyFont="true" applyBorder="true" applyAlignment="true" applyProtection="false">
      <alignment horizontal="left" vertical="center" textRotation="0" wrapText="true" indent="0" shrinkToFit="false"/>
      <protection locked="true" hidden="false"/>
    </xf>
    <xf numFmtId="164" fontId="8" fillId="21" borderId="1" xfId="0" applyFont="true" applyBorder="true" applyAlignment="true" applyProtection="false">
      <alignment horizontal="left" vertical="center" textRotation="0" wrapText="true" indent="0" shrinkToFit="false"/>
      <protection locked="true" hidden="false"/>
    </xf>
    <xf numFmtId="168" fontId="6" fillId="21" borderId="1" xfId="0" applyFont="true" applyBorder="true" applyAlignment="true" applyProtection="false">
      <alignment horizontal="center" vertical="center" textRotation="0" wrapText="true" indent="0" shrinkToFit="false"/>
      <protection locked="true" hidden="false"/>
    </xf>
    <xf numFmtId="168" fontId="6" fillId="21" borderId="1" xfId="0" applyFont="true" applyBorder="true" applyAlignment="true" applyProtection="false">
      <alignment horizontal="right" vertical="center" textRotation="0" wrapText="true" indent="0" shrinkToFit="false"/>
      <protection locked="true" hidden="false"/>
    </xf>
    <xf numFmtId="164" fontId="6" fillId="21" borderId="1" xfId="0" applyFont="true" applyBorder="true" applyAlignment="true" applyProtection="false">
      <alignment horizontal="left" vertical="center" textRotation="0" wrapText="true" indent="0" shrinkToFit="false"/>
      <protection locked="true" hidden="false"/>
    </xf>
    <xf numFmtId="164" fontId="9" fillId="21" borderId="1" xfId="0" applyFont="true" applyBorder="true" applyAlignment="true" applyProtection="false">
      <alignment horizontal="left" vertical="center" textRotation="0" wrapText="true" indent="0" shrinkToFit="false"/>
      <protection locked="true" hidden="false"/>
    </xf>
    <xf numFmtId="168" fontId="6" fillId="22" borderId="1" xfId="0" applyFont="true" applyBorder="true" applyAlignment="true" applyProtection="false">
      <alignment horizontal="center" vertical="center" textRotation="0" wrapText="true" indent="0" shrinkToFit="false"/>
      <protection locked="true" hidden="false"/>
    </xf>
    <xf numFmtId="168" fontId="6" fillId="22" borderId="1" xfId="0" applyFont="true" applyBorder="true" applyAlignment="true" applyProtection="false">
      <alignment horizontal="right" vertical="center" textRotation="0" wrapText="true" indent="0" shrinkToFit="false"/>
      <protection locked="true" hidden="false"/>
    </xf>
    <xf numFmtId="164" fontId="9" fillId="22" borderId="1" xfId="0" applyFont="true" applyBorder="true" applyAlignment="true" applyProtection="false">
      <alignment horizontal="left" vertical="center" textRotation="0" wrapText="true" indent="0" shrinkToFit="false"/>
      <protection locked="true" hidden="false"/>
    </xf>
    <xf numFmtId="168" fontId="6"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left" vertical="center" textRotation="0" wrapText="true" indent="0" shrinkToFit="false"/>
      <protection locked="true" hidden="false"/>
    </xf>
    <xf numFmtId="168" fontId="6"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4" fillId="8" borderId="2" xfId="0" applyFont="true" applyBorder="true" applyAlignment="true" applyProtection="false">
      <alignment horizontal="left"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8" fillId="22" borderId="1" xfId="0" applyFont="true" applyBorder="true" applyAlignment="true" applyProtection="false">
      <alignment horizontal="center" vertical="center" textRotation="0" wrapText="true" indent="0" shrinkToFit="false"/>
      <protection locked="true" hidden="false"/>
    </xf>
    <xf numFmtId="164" fontId="8" fillId="14" borderId="1" xfId="0" applyFont="true" applyBorder="true" applyAlignment="true" applyProtection="false">
      <alignment horizontal="center" vertical="center" textRotation="0" wrapText="true" indent="0" shrinkToFit="false"/>
      <protection locked="true" hidden="false"/>
    </xf>
    <xf numFmtId="170" fontId="6" fillId="6" borderId="1" xfId="0" applyFont="true" applyBorder="true" applyAlignment="true" applyProtection="false">
      <alignment horizontal="right" vertical="center" textRotation="0" wrapText="true" indent="0" shrinkToFit="false"/>
      <protection locked="true" hidden="false"/>
    </xf>
    <xf numFmtId="173" fontId="6" fillId="6" borderId="1" xfId="0" applyFont="true" applyBorder="true" applyAlignment="true" applyProtection="false">
      <alignment horizontal="right" vertical="center" textRotation="0" wrapText="true" indent="0" shrinkToFit="false"/>
      <protection locked="true" hidden="false"/>
    </xf>
    <xf numFmtId="168" fontId="6" fillId="11" borderId="1" xfId="0" applyFont="true" applyBorder="true" applyAlignment="true" applyProtection="false">
      <alignment horizontal="right" vertical="center" textRotation="0" wrapText="true" indent="0" shrinkToFit="false"/>
      <protection locked="true" hidden="false"/>
    </xf>
    <xf numFmtId="170" fontId="6" fillId="11" borderId="1" xfId="0" applyFont="true" applyBorder="true" applyAlignment="true" applyProtection="false">
      <alignment horizontal="right" vertical="center" textRotation="0" wrapText="true" indent="0" shrinkToFit="false"/>
      <protection locked="true" hidden="false"/>
    </xf>
    <xf numFmtId="173" fontId="6" fillId="11" borderId="1" xfId="0" applyFont="true" applyBorder="true" applyAlignment="true" applyProtection="false">
      <alignment horizontal="right" vertical="center" textRotation="0" wrapText="true" indent="0" shrinkToFit="false"/>
      <protection locked="true" hidden="false"/>
    </xf>
    <xf numFmtId="170" fontId="6" fillId="7" borderId="1" xfId="0" applyFont="true" applyBorder="true" applyAlignment="true" applyProtection="false">
      <alignment horizontal="right" vertical="center" textRotation="0" wrapText="true" indent="0" shrinkToFit="false"/>
      <protection locked="true" hidden="false"/>
    </xf>
    <xf numFmtId="173" fontId="6" fillId="7" borderId="1" xfId="0" applyFont="true" applyBorder="true" applyAlignment="true" applyProtection="false">
      <alignment horizontal="right" vertical="center" textRotation="0" wrapText="true" indent="0" shrinkToFit="false"/>
      <protection locked="true" hidden="false"/>
    </xf>
    <xf numFmtId="166" fontId="6" fillId="7" borderId="1" xfId="0" applyFont="true" applyBorder="true" applyAlignment="true" applyProtection="false">
      <alignment horizontal="right" vertical="center" textRotation="0" wrapText="true" indent="0" shrinkToFit="false"/>
      <protection locked="true" hidden="false"/>
    </xf>
    <xf numFmtId="166" fontId="6" fillId="9" borderId="1" xfId="0" applyFont="true" applyBorder="true" applyAlignment="true" applyProtection="false">
      <alignment horizontal="right" vertical="center" textRotation="0" wrapText="true" indent="0" shrinkToFit="false"/>
      <protection locked="true" hidden="false"/>
    </xf>
    <xf numFmtId="170" fontId="6" fillId="9" borderId="1" xfId="0" applyFont="true" applyBorder="true" applyAlignment="true" applyProtection="false">
      <alignment horizontal="right" vertical="center" textRotation="0" wrapText="true" indent="0" shrinkToFit="false"/>
      <protection locked="true" hidden="false"/>
    </xf>
    <xf numFmtId="173" fontId="6" fillId="9" borderId="1" xfId="0" applyFont="true" applyBorder="true" applyAlignment="true" applyProtection="false">
      <alignment horizontal="right" vertical="center" textRotation="0" wrapText="true" indent="0" shrinkToFit="false"/>
      <protection locked="true" hidden="false"/>
    </xf>
    <xf numFmtId="168" fontId="6" fillId="11"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left" vertical="center" textRotation="0" wrapText="true" indent="0" shrinkToFit="false"/>
      <protection locked="true" hidden="false"/>
    </xf>
    <xf numFmtId="170" fontId="6" fillId="7" borderId="1" xfId="0" applyFont="true" applyBorder="true" applyAlignment="true" applyProtection="false">
      <alignment horizontal="center" vertical="center" textRotation="0" wrapText="true" indent="0" shrinkToFit="false"/>
      <protection locked="true" hidden="false"/>
    </xf>
    <xf numFmtId="168" fontId="6" fillId="9" borderId="1" xfId="0" applyFont="true" applyBorder="true" applyAlignment="true" applyProtection="false">
      <alignment horizontal="center" vertical="center" textRotation="0" wrapText="true" indent="0" shrinkToFit="false"/>
      <protection locked="true" hidden="false"/>
    </xf>
    <xf numFmtId="170" fontId="6" fillId="8" borderId="1" xfId="0" applyFont="true" applyBorder="true" applyAlignment="true" applyProtection="false">
      <alignment horizontal="center" vertical="center" textRotation="0" wrapText="true" indent="0" shrinkToFit="false"/>
      <protection locked="true" hidden="false"/>
    </xf>
    <xf numFmtId="168" fontId="6" fillId="8"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right"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9" fillId="8" borderId="1" xfId="0" applyFont="true" applyBorder="true" applyAlignment="true" applyProtection="false">
      <alignment horizontal="left" vertical="center" textRotation="0" wrapText="true" indent="0" shrinkToFit="false"/>
      <protection locked="true" hidden="false"/>
    </xf>
    <xf numFmtId="164" fontId="6" fillId="11" borderId="1" xfId="0" applyFont="true" applyBorder="true" applyAlignment="true" applyProtection="false">
      <alignment horizontal="right" vertical="center" textRotation="0" wrapText="true" indent="0" shrinkToFit="false"/>
      <protection locked="true" hidden="false"/>
    </xf>
    <xf numFmtId="164" fontId="6" fillId="7" borderId="1" xfId="0" applyFont="true" applyBorder="true" applyAlignment="true" applyProtection="false">
      <alignment horizontal="right" vertical="center" textRotation="0" wrapText="true" indent="0" shrinkToFit="false"/>
      <protection locked="true" hidden="false"/>
    </xf>
    <xf numFmtId="164" fontId="6" fillId="9" borderId="1" xfId="0" applyFont="true" applyBorder="true" applyAlignment="true" applyProtection="false">
      <alignment horizontal="righ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6" fillId="8" borderId="2" xfId="0" applyFont="true" applyBorder="true" applyAlignment="true" applyProtection="false">
      <alignment horizontal="left" vertical="center" textRotation="0" wrapText="false" indent="0" shrinkToFit="false"/>
      <protection locked="true" hidden="false"/>
    </xf>
    <xf numFmtId="164" fontId="8" fillId="12" borderId="1" xfId="0" applyFont="true" applyBorder="true" applyAlignment="true" applyProtection="false">
      <alignment horizontal="center" vertical="center" textRotation="0" wrapText="true" indent="0" shrinkToFit="false"/>
      <protection locked="true" hidden="false"/>
    </xf>
    <xf numFmtId="164" fontId="8" fillId="19" borderId="1" xfId="0" applyFont="true" applyBorder="true" applyAlignment="true" applyProtection="false">
      <alignment horizontal="center" vertical="center" textRotation="0" wrapText="true" indent="0" shrinkToFit="false"/>
      <protection locked="true" hidden="false"/>
    </xf>
    <xf numFmtId="164" fontId="16" fillId="4" borderId="1" xfId="0" applyFont="true" applyBorder="true" applyAlignment="true" applyProtection="false">
      <alignment horizontal="left" vertical="center" textRotation="0" wrapText="true" indent="0" shrinkToFit="false"/>
      <protection locked="true" hidden="false"/>
    </xf>
    <xf numFmtId="168" fontId="6" fillId="23" borderId="1" xfId="0" applyFont="true" applyBorder="true" applyAlignment="true" applyProtection="false">
      <alignment horizontal="right" vertical="center" textRotation="0" wrapText="true" indent="0" shrinkToFit="false"/>
      <protection locked="true" hidden="false"/>
    </xf>
    <xf numFmtId="174" fontId="6" fillId="9" borderId="1" xfId="0" applyFont="true" applyBorder="true" applyAlignment="true" applyProtection="false">
      <alignment horizontal="right" vertical="center" textRotation="0" wrapText="true" indent="0" shrinkToFit="false"/>
      <protection locked="true" hidden="false"/>
    </xf>
    <xf numFmtId="167" fontId="6" fillId="12" borderId="1" xfId="0" applyFont="true" applyBorder="true" applyAlignment="true" applyProtection="false">
      <alignment horizontal="right" vertical="center" textRotation="0" wrapText="true" indent="0" shrinkToFit="false"/>
      <protection locked="true" hidden="false"/>
    </xf>
    <xf numFmtId="169" fontId="6" fillId="6" borderId="1" xfId="0" applyFont="true" applyBorder="true" applyAlignment="true" applyProtection="false">
      <alignment horizontal="right" vertical="center" textRotation="0" wrapText="true" indent="0" shrinkToFit="false"/>
      <protection locked="true" hidden="false"/>
    </xf>
    <xf numFmtId="164" fontId="8" fillId="24" borderId="1" xfId="0" applyFont="true" applyBorder="true" applyAlignment="true" applyProtection="false">
      <alignment horizontal="left" vertical="center" textRotation="0" wrapText="true" indent="0" shrinkToFit="false"/>
      <protection locked="true" hidden="false"/>
    </xf>
    <xf numFmtId="164" fontId="6" fillId="24" borderId="1" xfId="0" applyFont="true" applyBorder="true" applyAlignment="true" applyProtection="false">
      <alignment horizontal="left" vertical="center" textRotation="0" wrapText="true" indent="0" shrinkToFit="false"/>
      <protection locked="true" hidden="false"/>
    </xf>
    <xf numFmtId="164" fontId="8" fillId="25" borderId="1" xfId="0" applyFont="true" applyBorder="true" applyAlignment="true" applyProtection="false">
      <alignment horizontal="left" vertical="center" textRotation="0" wrapText="true" indent="0" shrinkToFit="false"/>
      <protection locked="true" hidden="false"/>
    </xf>
    <xf numFmtId="164" fontId="6" fillId="25" borderId="1" xfId="0" applyFont="true" applyBorder="true" applyAlignment="true" applyProtection="false">
      <alignment horizontal="left" vertical="center" textRotation="0" wrapText="true" indent="0" shrinkToFit="false"/>
      <protection locked="true" hidden="false"/>
    </xf>
    <xf numFmtId="164" fontId="8" fillId="26" borderId="1" xfId="0" applyFont="true" applyBorder="true" applyAlignment="true" applyProtection="false">
      <alignment horizontal="left" vertical="center" textRotation="0" wrapText="true" indent="0" shrinkToFit="false"/>
      <protection locked="true" hidden="false"/>
    </xf>
    <xf numFmtId="164" fontId="6" fillId="2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0E68C"/>
      <rgbColor rgb="FFFF00FF"/>
      <rgbColor rgb="FF00FFFF"/>
      <rgbColor rgb="FF800000"/>
      <rgbColor rgb="FF008000"/>
      <rgbColor rgb="FF000080"/>
      <rgbColor rgb="FF808000"/>
      <rgbColor rgb="FF800080"/>
      <rgbColor rgb="FF008080"/>
      <rgbColor rgb="FFBFBFBF"/>
      <rgbColor rgb="FF808080"/>
      <rgbColor rgb="FFFCE4D6"/>
      <rgbColor rgb="FF993366"/>
      <rgbColor rgb="FFFFFACD"/>
      <rgbColor rgb="FFDDEBF7"/>
      <rgbColor rgb="FF660066"/>
      <rgbColor rgb="FFFFF5F0"/>
      <rgbColor rgb="FF0066CC"/>
      <rgbColor rgb="FFD9D9D9"/>
      <rgbColor rgb="FF000080"/>
      <rgbColor rgb="FFFF00FF"/>
      <rgbColor rgb="FFFFE0B2"/>
      <rgbColor rgb="FF00FFFF"/>
      <rgbColor rgb="FF800080"/>
      <rgbColor rgb="FF800000"/>
      <rgbColor rgb="FF008080"/>
      <rgbColor rgb="FF0000FF"/>
      <rgbColor rgb="FF00CCFF"/>
      <rgbColor rgb="FFE2EFDA"/>
      <rgbColor rgb="FFC6EFCE"/>
      <rgbColor rgb="FFFFF2CC"/>
      <rgbColor rgb="FFD6E4F0"/>
      <rgbColor rgb="FFF4CCCC"/>
      <rgbColor rgb="FFEAD1DC"/>
      <rgbColor rgb="FFFFCCCC"/>
      <rgbColor rgb="FF2E75B6"/>
      <rgbColor rgb="FF33CCCC"/>
      <rgbColor rgb="FF92D050"/>
      <rgbColor rgb="FFFFC000"/>
      <rgbColor rgb="FFFF9900"/>
      <rgbColor rgb="FFC55A11"/>
      <rgbColor rgb="FF666699"/>
      <rgbColor rgb="FFF2F2F2"/>
      <rgbColor rgb="FF003366"/>
      <rgbColor rgb="FF339966"/>
      <rgbColor rgb="FF003300"/>
      <rgbColor rgb="FF333300"/>
      <rgbColor rgb="FF843C0C"/>
      <rgbColor rgb="FF993366"/>
      <rgbColor rgb="FF1F4E7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45"/>
    <col collapsed="false" customWidth="true" hidden="false" outlineLevel="0" max="3" min="3" style="1" width="32"/>
    <col collapsed="false" customWidth="true" hidden="false" outlineLevel="0" max="4" min="4" style="1" width="24"/>
    <col collapsed="false" customWidth="true" hidden="false" outlineLevel="0" max="5" min="5" style="1" width="18"/>
    <col collapsed="false" customWidth="true" hidden="false" outlineLevel="0" max="6" min="6" style="1" width="42"/>
  </cols>
  <sheetData>
    <row r="1" customFormat="false" ht="39.75" hidden="false" customHeight="true" outlineLevel="0" collapsed="false">
      <c r="A1" s="2" t="s">
        <v>0</v>
      </c>
      <c r="B1" s="2"/>
      <c r="C1" s="2"/>
      <c r="D1" s="2"/>
      <c r="E1" s="2"/>
      <c r="F1" s="2"/>
    </row>
    <row r="2" customFormat="false" ht="15" hidden="false" customHeight="true" outlineLevel="0" collapsed="false">
      <c r="A2" s="3" t="s">
        <v>1</v>
      </c>
      <c r="B2" s="3" t="s">
        <v>2</v>
      </c>
      <c r="C2" s="3" t="s">
        <v>3</v>
      </c>
      <c r="D2" s="3" t="s">
        <v>4</v>
      </c>
      <c r="E2" s="3" t="s">
        <v>5</v>
      </c>
      <c r="F2" s="3" t="s">
        <v>6</v>
      </c>
    </row>
    <row r="3" customFormat="false" ht="15" hidden="false" customHeight="true" outlineLevel="0" collapsed="false">
      <c r="A3" s="4" t="s">
        <v>7</v>
      </c>
      <c r="B3" s="4" t="s">
        <v>8</v>
      </c>
      <c r="C3" s="4" t="s">
        <v>9</v>
      </c>
      <c r="D3" s="4" t="s">
        <v>10</v>
      </c>
      <c r="E3" s="4" t="s">
        <v>11</v>
      </c>
      <c r="F3" s="4" t="s">
        <v>12</v>
      </c>
    </row>
    <row r="4" customFormat="false" ht="15" hidden="false" customHeight="true" outlineLevel="0" collapsed="false">
      <c r="A4" s="5" t="s">
        <v>13</v>
      </c>
      <c r="B4" s="5" t="s">
        <v>14</v>
      </c>
      <c r="C4" s="5" t="s">
        <v>15</v>
      </c>
      <c r="D4" s="5" t="s">
        <v>16</v>
      </c>
      <c r="E4" s="5" t="s">
        <v>11</v>
      </c>
      <c r="F4" s="5" t="s">
        <v>17</v>
      </c>
    </row>
    <row r="5" customFormat="false" ht="15" hidden="false" customHeight="true" outlineLevel="0" collapsed="false">
      <c r="A5" s="4" t="s">
        <v>18</v>
      </c>
      <c r="B5" s="4" t="s">
        <v>19</v>
      </c>
      <c r="C5" s="4" t="s">
        <v>20</v>
      </c>
      <c r="D5" s="4" t="s">
        <v>21</v>
      </c>
      <c r="E5" s="4" t="s">
        <v>11</v>
      </c>
      <c r="F5" s="4" t="s">
        <v>22</v>
      </c>
    </row>
    <row r="6" customFormat="false" ht="15" hidden="false" customHeight="true" outlineLevel="0" collapsed="false">
      <c r="A6" s="5" t="s">
        <v>23</v>
      </c>
      <c r="B6" s="5" t="s">
        <v>24</v>
      </c>
      <c r="C6" s="5" t="s">
        <v>25</v>
      </c>
      <c r="D6" s="5" t="s">
        <v>26</v>
      </c>
      <c r="E6" s="5" t="s">
        <v>11</v>
      </c>
      <c r="F6" s="5" t="s">
        <v>27</v>
      </c>
    </row>
    <row r="7" customFormat="false" ht="21.75" hidden="false" customHeight="true" outlineLevel="0" collapsed="false">
      <c r="A7" s="4" t="s">
        <v>28</v>
      </c>
      <c r="B7" s="4" t="s">
        <v>29</v>
      </c>
      <c r="C7" s="4" t="s">
        <v>30</v>
      </c>
      <c r="D7" s="4" t="s">
        <v>31</v>
      </c>
      <c r="E7" s="4" t="s">
        <v>32</v>
      </c>
      <c r="F7" s="4" t="s">
        <v>33</v>
      </c>
    </row>
    <row r="8" customFormat="false" ht="15" hidden="false" customHeight="true" outlineLevel="0" collapsed="false">
      <c r="A8" s="5" t="s">
        <v>34</v>
      </c>
      <c r="B8" s="5" t="s">
        <v>35</v>
      </c>
      <c r="C8" s="5" t="s">
        <v>36</v>
      </c>
      <c r="D8" s="5" t="s">
        <v>37</v>
      </c>
      <c r="E8" s="5" t="s">
        <v>38</v>
      </c>
      <c r="F8" s="5" t="s">
        <v>39</v>
      </c>
    </row>
    <row r="9" customFormat="false" ht="15" hidden="false" customHeight="true" outlineLevel="0" collapsed="false">
      <c r="A9" s="4" t="s">
        <v>40</v>
      </c>
      <c r="B9" s="4" t="s">
        <v>41</v>
      </c>
      <c r="C9" s="4" t="s">
        <v>42</v>
      </c>
      <c r="D9" s="4" t="s">
        <v>42</v>
      </c>
      <c r="E9" s="4" t="s">
        <v>43</v>
      </c>
      <c r="F9" s="4" t="s">
        <v>44</v>
      </c>
    </row>
    <row r="10" customFormat="false" ht="27.75" hidden="false" customHeight="true" outlineLevel="0" collapsed="false">
      <c r="A10" s="5" t="s">
        <v>45</v>
      </c>
      <c r="B10" s="5" t="s">
        <v>46</v>
      </c>
      <c r="C10" s="5" t="s">
        <v>47</v>
      </c>
      <c r="D10" s="5" t="s">
        <v>48</v>
      </c>
      <c r="E10" s="5" t="s">
        <v>11</v>
      </c>
      <c r="F10" s="5" t="s">
        <v>49</v>
      </c>
    </row>
    <row r="11" customFormat="false" ht="27.75" hidden="false" customHeight="true" outlineLevel="0" collapsed="false">
      <c r="A11" s="6" t="s">
        <v>50</v>
      </c>
      <c r="B11" s="6" t="s">
        <v>51</v>
      </c>
      <c r="C11" s="6" t="s">
        <v>47</v>
      </c>
      <c r="D11" s="6" t="s">
        <v>48</v>
      </c>
      <c r="E11" s="6" t="s">
        <v>11</v>
      </c>
      <c r="F11" s="6" t="s">
        <v>52</v>
      </c>
    </row>
    <row r="12" customFormat="false" ht="27.75" hidden="false" customHeight="true" outlineLevel="0" collapsed="false">
      <c r="A12" s="5" t="s">
        <v>53</v>
      </c>
      <c r="B12" s="5" t="s">
        <v>54</v>
      </c>
      <c r="C12" s="5" t="s">
        <v>47</v>
      </c>
      <c r="D12" s="5" t="s">
        <v>48</v>
      </c>
      <c r="E12" s="5" t="s">
        <v>11</v>
      </c>
      <c r="F12" s="5" t="s">
        <v>55</v>
      </c>
    </row>
    <row r="13" customFormat="false" ht="27.75" hidden="false" customHeight="true" outlineLevel="0" collapsed="false">
      <c r="A13" s="6" t="s">
        <v>56</v>
      </c>
      <c r="B13" s="6" t="s">
        <v>57</v>
      </c>
      <c r="C13" s="6" t="s">
        <v>47</v>
      </c>
      <c r="D13" s="6" t="s">
        <v>48</v>
      </c>
      <c r="E13" s="6" t="s">
        <v>11</v>
      </c>
      <c r="F13" s="6" t="s">
        <v>58</v>
      </c>
    </row>
    <row r="14" customFormat="false" ht="27.75" hidden="false" customHeight="true" outlineLevel="0" collapsed="false">
      <c r="A14" s="5" t="s">
        <v>59</v>
      </c>
      <c r="B14" s="5" t="s">
        <v>60</v>
      </c>
      <c r="C14" s="5" t="s">
        <v>47</v>
      </c>
      <c r="D14" s="5" t="s">
        <v>48</v>
      </c>
      <c r="E14" s="5" t="s">
        <v>11</v>
      </c>
      <c r="F14" s="5" t="s">
        <v>61</v>
      </c>
    </row>
    <row r="15" customFormat="false" ht="27.75" hidden="false" customHeight="true" outlineLevel="0" collapsed="false">
      <c r="A15" s="6" t="s">
        <v>62</v>
      </c>
      <c r="B15" s="6" t="s">
        <v>63</v>
      </c>
      <c r="C15" s="6" t="s">
        <v>64</v>
      </c>
      <c r="D15" s="6" t="s">
        <v>65</v>
      </c>
      <c r="E15" s="6" t="s">
        <v>66</v>
      </c>
      <c r="F15" s="6" t="s">
        <v>67</v>
      </c>
    </row>
    <row r="16" customFormat="false" ht="27.75" hidden="false" customHeight="true" outlineLevel="0" collapsed="false">
      <c r="A16" s="5" t="s">
        <v>68</v>
      </c>
      <c r="B16" s="5" t="s">
        <v>69</v>
      </c>
      <c r="C16" s="5" t="s">
        <v>64</v>
      </c>
      <c r="D16" s="5" t="s">
        <v>65</v>
      </c>
      <c r="E16" s="5" t="s">
        <v>66</v>
      </c>
      <c r="F16" s="5" t="s">
        <v>70</v>
      </c>
    </row>
    <row r="17" customFormat="false" ht="27.75" hidden="false" customHeight="true" outlineLevel="0" collapsed="false">
      <c r="A17" s="6" t="s">
        <v>71</v>
      </c>
      <c r="B17" s="6" t="s">
        <v>72</v>
      </c>
      <c r="C17" s="6" t="s">
        <v>73</v>
      </c>
      <c r="D17" s="6" t="s">
        <v>65</v>
      </c>
      <c r="E17" s="6" t="s">
        <v>74</v>
      </c>
      <c r="F17" s="6" t="s">
        <v>75</v>
      </c>
    </row>
    <row r="18" customFormat="false" ht="27.75" hidden="false" customHeight="true" outlineLevel="0" collapsed="false">
      <c r="A18" s="5" t="s">
        <v>76</v>
      </c>
      <c r="B18" s="5" t="s">
        <v>77</v>
      </c>
      <c r="C18" s="5" t="s">
        <v>78</v>
      </c>
      <c r="D18" s="5" t="s">
        <v>79</v>
      </c>
      <c r="E18" s="5" t="s">
        <v>11</v>
      </c>
      <c r="F18" s="5" t="s">
        <v>80</v>
      </c>
    </row>
    <row r="19" customFormat="false" ht="27.75" hidden="false" customHeight="true" outlineLevel="0" collapsed="false">
      <c r="A19" s="6" t="s">
        <v>81</v>
      </c>
      <c r="B19" s="6" t="s">
        <v>82</v>
      </c>
      <c r="C19" s="6" t="s">
        <v>83</v>
      </c>
      <c r="D19" s="6" t="s">
        <v>84</v>
      </c>
      <c r="E19" s="6" t="s">
        <v>85</v>
      </c>
      <c r="F19" s="6" t="s">
        <v>86</v>
      </c>
    </row>
    <row r="20" customFormat="false" ht="27.75" hidden="false" customHeight="true" outlineLevel="0" collapsed="false">
      <c r="A20" s="5" t="s">
        <v>87</v>
      </c>
      <c r="B20" s="5" t="s">
        <v>88</v>
      </c>
      <c r="C20" s="5" t="s">
        <v>89</v>
      </c>
      <c r="D20" s="5" t="s">
        <v>90</v>
      </c>
      <c r="E20" s="5" t="s">
        <v>91</v>
      </c>
      <c r="F20" s="5" t="s">
        <v>92</v>
      </c>
    </row>
    <row r="21" customFormat="false" ht="27.75" hidden="false" customHeight="true" outlineLevel="0" collapsed="false">
      <c r="A21" s="6" t="s">
        <v>93</v>
      </c>
      <c r="B21" s="6" t="s">
        <v>94</v>
      </c>
      <c r="C21" s="6" t="s">
        <v>95</v>
      </c>
      <c r="D21" s="6" t="s">
        <v>96</v>
      </c>
      <c r="E21" s="6" t="s">
        <v>97</v>
      </c>
      <c r="F21" s="6" t="s">
        <v>98</v>
      </c>
    </row>
    <row r="22" customFormat="false" ht="27.75" hidden="false" customHeight="true" outlineLevel="0" collapsed="false">
      <c r="A22" s="5" t="s">
        <v>99</v>
      </c>
      <c r="B22" s="5" t="s">
        <v>100</v>
      </c>
      <c r="C22" s="5" t="s">
        <v>101</v>
      </c>
      <c r="D22" s="5" t="s">
        <v>102</v>
      </c>
      <c r="E22" s="5" t="s">
        <v>11</v>
      </c>
      <c r="F22" s="5" t="s">
        <v>103</v>
      </c>
    </row>
    <row r="24" customFormat="false" ht="39.75" hidden="false" customHeight="true" outlineLevel="0" collapsed="false">
      <c r="A24" s="7" t="s">
        <v>104</v>
      </c>
      <c r="B24" s="7"/>
      <c r="C24" s="7"/>
      <c r="D24" s="7"/>
      <c r="E24" s="7"/>
      <c r="F24" s="7"/>
    </row>
    <row r="25" customFormat="false" ht="31.5" hidden="false" customHeight="true" outlineLevel="0" collapsed="false">
      <c r="A25" s="6" t="s">
        <v>105</v>
      </c>
      <c r="B25" s="6" t="s">
        <v>106</v>
      </c>
      <c r="C25" s="6" t="s">
        <v>107</v>
      </c>
      <c r="D25" s="6" t="s">
        <v>108</v>
      </c>
      <c r="E25" s="6" t="s">
        <v>109</v>
      </c>
      <c r="F25" s="6" t="s">
        <v>110</v>
      </c>
    </row>
    <row r="26" customFormat="false" ht="31.5" hidden="false" customHeight="true" outlineLevel="0" collapsed="false">
      <c r="A26" s="5" t="s">
        <v>111</v>
      </c>
      <c r="B26" s="5" t="s">
        <v>112</v>
      </c>
      <c r="C26" s="5" t="s">
        <v>107</v>
      </c>
      <c r="D26" s="5" t="s">
        <v>108</v>
      </c>
      <c r="E26" s="5" t="s">
        <v>109</v>
      </c>
      <c r="F26" s="5" t="s">
        <v>113</v>
      </c>
    </row>
    <row r="27" customFormat="false" ht="31.5" hidden="false" customHeight="true" outlineLevel="0" collapsed="false">
      <c r="A27" s="6" t="s">
        <v>114</v>
      </c>
      <c r="B27" s="6" t="s">
        <v>115</v>
      </c>
      <c r="C27" s="6" t="s">
        <v>116</v>
      </c>
      <c r="D27" s="6" t="s">
        <v>117</v>
      </c>
      <c r="E27" s="6" t="s">
        <v>38</v>
      </c>
      <c r="F27" s="6" t="s">
        <v>118</v>
      </c>
    </row>
    <row r="28" customFormat="false" ht="31.5" hidden="false" customHeight="true" outlineLevel="0" collapsed="false">
      <c r="A28" s="5" t="s">
        <v>119</v>
      </c>
      <c r="B28" s="5" t="s">
        <v>120</v>
      </c>
      <c r="C28" s="5" t="s">
        <v>121</v>
      </c>
      <c r="D28" s="5" t="s">
        <v>122</v>
      </c>
      <c r="E28" s="5" t="s">
        <v>123</v>
      </c>
      <c r="F28" s="5" t="s">
        <v>124</v>
      </c>
    </row>
    <row r="29" customFormat="false" ht="31.5" hidden="false" customHeight="true" outlineLevel="0" collapsed="false">
      <c r="A29" s="6" t="s">
        <v>125</v>
      </c>
      <c r="B29" s="6" t="s">
        <v>126</v>
      </c>
      <c r="C29" s="6" t="s">
        <v>127</v>
      </c>
      <c r="D29" s="6" t="s">
        <v>128</v>
      </c>
      <c r="E29" s="6" t="s">
        <v>129</v>
      </c>
      <c r="F29" s="6" t="s">
        <v>130</v>
      </c>
    </row>
  </sheetData>
  <mergeCells count="2">
    <mergeCell ref="A1:F1"/>
    <mergeCell ref="A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12"/>
    <col collapsed="false" customWidth="true" hidden="false" outlineLevel="0" max="5" min="4" style="1" width="14"/>
    <col collapsed="false" customWidth="true" hidden="false" outlineLevel="0" max="6" min="6" style="1" width="18"/>
    <col collapsed="false" customWidth="true" hidden="false" outlineLevel="0" max="7" min="7" style="1" width="22"/>
    <col collapsed="false" customWidth="true" hidden="false" outlineLevel="0" max="8" min="8" style="1" width="16"/>
    <col collapsed="false" customWidth="true" hidden="false" outlineLevel="0" max="9" min="9" style="1" width="30"/>
    <col collapsed="false" customWidth="true" hidden="false" outlineLevel="0" max="10" min="10" style="1" width="25"/>
  </cols>
  <sheetData>
    <row r="1" customFormat="false" ht="27.75" hidden="false" customHeight="true" outlineLevel="0" collapsed="false">
      <c r="A1" s="8" t="s">
        <v>131</v>
      </c>
      <c r="B1" s="8"/>
      <c r="C1" s="8"/>
      <c r="D1" s="8"/>
      <c r="E1" s="8"/>
      <c r="F1" s="8"/>
      <c r="G1" s="8"/>
      <c r="H1" s="8"/>
      <c r="I1" s="8"/>
      <c r="J1" s="8"/>
      <c r="K1" s="8"/>
    </row>
    <row r="2" customFormat="false" ht="36" hidden="false" customHeight="true" outlineLevel="0" collapsed="false">
      <c r="A2" s="3" t="s">
        <v>132</v>
      </c>
      <c r="B2" s="3" t="s">
        <v>133</v>
      </c>
      <c r="C2" s="3" t="s">
        <v>134</v>
      </c>
      <c r="D2" s="3" t="s">
        <v>135</v>
      </c>
      <c r="E2" s="3" t="s">
        <v>136</v>
      </c>
      <c r="F2" s="3" t="s">
        <v>137</v>
      </c>
      <c r="G2" s="3" t="s">
        <v>138</v>
      </c>
      <c r="H2" s="3" t="s">
        <v>139</v>
      </c>
      <c r="I2" s="3" t="s">
        <v>140</v>
      </c>
      <c r="J2" s="3" t="s">
        <v>141</v>
      </c>
    </row>
    <row r="3" customFormat="false" ht="15" hidden="false" customHeight="true" outlineLevel="0" collapsed="false">
      <c r="A3" s="9"/>
      <c r="B3" s="9"/>
      <c r="C3" s="9"/>
      <c r="D3" s="9"/>
      <c r="E3" s="9"/>
      <c r="F3" s="9"/>
      <c r="G3" s="9"/>
      <c r="H3" s="9"/>
      <c r="I3" s="9"/>
      <c r="J3" s="9"/>
    </row>
    <row r="4" customFormat="false" ht="15" hidden="false" customHeight="true" outlineLevel="0" collapsed="false">
      <c r="A4" s="10" t="n">
        <v>1</v>
      </c>
      <c r="B4" s="11" t="s">
        <v>142</v>
      </c>
      <c r="C4" s="10" t="s">
        <v>143</v>
      </c>
      <c r="D4" s="12" t="s">
        <v>144</v>
      </c>
      <c r="E4" s="10" t="s">
        <v>143</v>
      </c>
      <c r="F4" s="13" t="n">
        <v>595.1</v>
      </c>
      <c r="G4" s="13" t="n">
        <v>488.1</v>
      </c>
      <c r="H4" s="10"/>
      <c r="I4" s="4" t="s">
        <v>145</v>
      </c>
      <c r="J4" s="14" t="s">
        <v>146</v>
      </c>
    </row>
    <row r="5" customFormat="false" ht="15" hidden="false" customHeight="true" outlineLevel="0" collapsed="false">
      <c r="A5" s="10" t="n">
        <v>2</v>
      </c>
      <c r="B5" s="11" t="s">
        <v>147</v>
      </c>
      <c r="C5" s="10" t="s">
        <v>143</v>
      </c>
      <c r="D5" s="15" t="s">
        <v>148</v>
      </c>
      <c r="E5" s="10" t="s">
        <v>143</v>
      </c>
      <c r="F5" s="13" t="n">
        <v>1110</v>
      </c>
      <c r="G5" s="13" t="n">
        <v>1110</v>
      </c>
      <c r="H5" s="10"/>
      <c r="I5" s="4" t="s">
        <v>149</v>
      </c>
      <c r="J5" s="14" t="s">
        <v>146</v>
      </c>
    </row>
    <row r="6" customFormat="false" ht="15" hidden="false" customHeight="true" outlineLevel="0" collapsed="false">
      <c r="A6" s="10" t="n">
        <v>3</v>
      </c>
      <c r="B6" s="11" t="s">
        <v>150</v>
      </c>
      <c r="C6" s="10" t="s">
        <v>143</v>
      </c>
      <c r="D6" s="15" t="s">
        <v>148</v>
      </c>
      <c r="E6" s="10" t="s">
        <v>143</v>
      </c>
      <c r="F6" s="13" t="n">
        <v>630</v>
      </c>
      <c r="G6" s="13" t="n">
        <v>630</v>
      </c>
      <c r="H6" s="10"/>
      <c r="I6" s="4" t="s">
        <v>151</v>
      </c>
      <c r="J6" s="14" t="s">
        <v>146</v>
      </c>
    </row>
    <row r="7" customFormat="false" ht="15" hidden="false" customHeight="true" outlineLevel="0" collapsed="false">
      <c r="A7" s="10" t="n">
        <v>4</v>
      </c>
      <c r="B7" s="11" t="s">
        <v>152</v>
      </c>
      <c r="C7" s="10" t="s">
        <v>143</v>
      </c>
      <c r="D7" s="15" t="s">
        <v>148</v>
      </c>
      <c r="E7" s="10" t="s">
        <v>143</v>
      </c>
      <c r="F7" s="13" t="n">
        <v>2270</v>
      </c>
      <c r="G7" s="13" t="n">
        <v>2270</v>
      </c>
      <c r="H7" s="10"/>
      <c r="I7" s="4" t="s">
        <v>153</v>
      </c>
      <c r="J7" s="14" t="s">
        <v>146</v>
      </c>
    </row>
    <row r="8" customFormat="false" ht="15" hidden="false" customHeight="true" outlineLevel="0" collapsed="false">
      <c r="A8" s="10" t="n">
        <v>5</v>
      </c>
      <c r="B8" s="11" t="s">
        <v>154</v>
      </c>
      <c r="C8" s="10" t="s">
        <v>143</v>
      </c>
      <c r="D8" s="15" t="s">
        <v>148</v>
      </c>
      <c r="E8" s="10" t="s">
        <v>143</v>
      </c>
      <c r="F8" s="13" t="n">
        <v>500</v>
      </c>
      <c r="G8" s="13" t="n">
        <v>500</v>
      </c>
      <c r="H8" s="10"/>
      <c r="I8" s="4" t="s">
        <v>155</v>
      </c>
      <c r="J8" s="14" t="s">
        <v>146</v>
      </c>
    </row>
    <row r="9" customFormat="false" ht="15" hidden="false" customHeight="true" outlineLevel="0" collapsed="false">
      <c r="A9" s="10" t="n">
        <v>6</v>
      </c>
      <c r="B9" s="11" t="s">
        <v>156</v>
      </c>
      <c r="C9" s="10" t="s">
        <v>143</v>
      </c>
      <c r="D9" s="15" t="s">
        <v>157</v>
      </c>
      <c r="E9" s="10" t="s">
        <v>143</v>
      </c>
      <c r="F9" s="13" t="n">
        <v>150</v>
      </c>
      <c r="G9" s="13" t="n">
        <v>150</v>
      </c>
      <c r="H9" s="10"/>
      <c r="I9" s="4"/>
      <c r="J9" s="14" t="s">
        <v>146</v>
      </c>
    </row>
    <row r="10" customFormat="false" ht="15" hidden="false" customHeight="true" outlineLevel="0" collapsed="false">
      <c r="A10" s="10" t="n">
        <v>7</v>
      </c>
      <c r="B10" s="11" t="s">
        <v>158</v>
      </c>
      <c r="C10" s="10" t="s">
        <v>143</v>
      </c>
      <c r="D10" s="15" t="s">
        <v>148</v>
      </c>
      <c r="E10" s="10" t="s">
        <v>143</v>
      </c>
      <c r="F10" s="13" t="n">
        <v>500</v>
      </c>
      <c r="G10" s="13" t="n">
        <v>500</v>
      </c>
      <c r="H10" s="10"/>
      <c r="I10" s="4"/>
      <c r="J10" s="14" t="s">
        <v>146</v>
      </c>
    </row>
    <row r="11" customFormat="false" ht="15" hidden="false" customHeight="true" outlineLevel="0" collapsed="false">
      <c r="A11" s="10" t="n">
        <v>8</v>
      </c>
      <c r="B11" s="11" t="s">
        <v>159</v>
      </c>
      <c r="C11" s="10" t="s">
        <v>143</v>
      </c>
      <c r="D11" s="12" t="s">
        <v>144</v>
      </c>
      <c r="E11" s="10" t="s">
        <v>143</v>
      </c>
      <c r="F11" s="13" t="n">
        <v>375</v>
      </c>
      <c r="G11" s="13" t="n">
        <v>374.57</v>
      </c>
      <c r="H11" s="10"/>
      <c r="I11" s="4"/>
      <c r="J11" s="14" t="s">
        <v>146</v>
      </c>
    </row>
    <row r="12" customFormat="false" ht="15" hidden="false" customHeight="true" outlineLevel="0" collapsed="false">
      <c r="A12" s="10" t="n">
        <v>9</v>
      </c>
      <c r="B12" s="11" t="s">
        <v>160</v>
      </c>
      <c r="C12" s="10" t="s">
        <v>143</v>
      </c>
      <c r="D12" s="16" t="s">
        <v>161</v>
      </c>
      <c r="E12" s="10" t="s">
        <v>143</v>
      </c>
      <c r="F12" s="13" t="n">
        <v>305</v>
      </c>
      <c r="G12" s="13" t="n">
        <v>305</v>
      </c>
      <c r="H12" s="10"/>
      <c r="I12" s="4"/>
      <c r="J12" s="14" t="s">
        <v>146</v>
      </c>
    </row>
    <row r="13" customFormat="false" ht="15" hidden="false" customHeight="true" outlineLevel="0" collapsed="false">
      <c r="A13" s="10" t="n">
        <v>10</v>
      </c>
      <c r="B13" s="11" t="s">
        <v>162</v>
      </c>
      <c r="C13" s="10" t="s">
        <v>143</v>
      </c>
      <c r="D13" s="16" t="s">
        <v>161</v>
      </c>
      <c r="E13" s="10" t="s">
        <v>143</v>
      </c>
      <c r="F13" s="13" t="n">
        <v>242</v>
      </c>
      <c r="G13" s="13" t="n">
        <v>242</v>
      </c>
      <c r="H13" s="10"/>
      <c r="I13" s="4"/>
      <c r="J13" s="14" t="s">
        <v>146</v>
      </c>
    </row>
    <row r="14" customFormat="false" ht="15" hidden="false" customHeight="true" outlineLevel="0" collapsed="false">
      <c r="A14" s="10" t="n">
        <v>11</v>
      </c>
      <c r="B14" s="17" t="s">
        <v>163</v>
      </c>
      <c r="C14" s="10" t="s">
        <v>164</v>
      </c>
      <c r="D14" s="15" t="s">
        <v>148</v>
      </c>
      <c r="E14" s="10" t="s">
        <v>165</v>
      </c>
      <c r="F14" s="13" t="n">
        <v>362</v>
      </c>
      <c r="G14" s="13" t="n">
        <v>362</v>
      </c>
      <c r="H14" s="10"/>
      <c r="I14" s="4"/>
      <c r="J14" s="14" t="s">
        <v>146</v>
      </c>
    </row>
    <row r="15" customFormat="false" ht="15" hidden="false" customHeight="true" outlineLevel="0" collapsed="false">
      <c r="A15" s="10" t="n">
        <v>12</v>
      </c>
      <c r="B15" s="17" t="s">
        <v>166</v>
      </c>
      <c r="C15" s="10" t="s">
        <v>164</v>
      </c>
      <c r="D15" s="12" t="s">
        <v>167</v>
      </c>
      <c r="E15" s="10" t="s">
        <v>168</v>
      </c>
      <c r="F15" s="13" t="n">
        <v>145</v>
      </c>
      <c r="G15" s="13" t="n">
        <v>93</v>
      </c>
      <c r="H15" s="10"/>
      <c r="I15" s="4"/>
      <c r="J15" s="14" t="s">
        <v>146</v>
      </c>
    </row>
    <row r="16" customFormat="false" ht="15" hidden="false" customHeight="true" outlineLevel="0" collapsed="false">
      <c r="A16" s="10" t="n">
        <v>13</v>
      </c>
      <c r="B16" s="17" t="s">
        <v>169</v>
      </c>
      <c r="C16" s="10" t="s">
        <v>164</v>
      </c>
      <c r="D16" s="15" t="s">
        <v>170</v>
      </c>
      <c r="E16" s="10" t="s">
        <v>168</v>
      </c>
      <c r="F16" s="13" t="n">
        <v>500</v>
      </c>
      <c r="G16" s="13" t="n">
        <v>500</v>
      </c>
      <c r="H16" s="10"/>
      <c r="I16" s="4" t="s">
        <v>171</v>
      </c>
      <c r="J16" s="14" t="s">
        <v>146</v>
      </c>
    </row>
    <row r="17" customFormat="false" ht="15" hidden="false" customHeight="true" outlineLevel="0" collapsed="false">
      <c r="A17" s="10" t="n">
        <v>14</v>
      </c>
      <c r="B17" s="17" t="s">
        <v>172</v>
      </c>
      <c r="C17" s="10" t="s">
        <v>164</v>
      </c>
      <c r="D17" s="12" t="s">
        <v>144</v>
      </c>
      <c r="E17" s="10" t="s">
        <v>173</v>
      </c>
      <c r="F17" s="13" t="n">
        <v>351</v>
      </c>
      <c r="G17" s="13" t="n">
        <v>351</v>
      </c>
      <c r="H17" s="10"/>
      <c r="I17" s="4"/>
      <c r="J17" s="14" t="s">
        <v>146</v>
      </c>
    </row>
    <row r="18" customFormat="false" ht="15" hidden="false" customHeight="true" outlineLevel="0" collapsed="false">
      <c r="A18" s="10" t="n">
        <v>15</v>
      </c>
      <c r="B18" s="17" t="s">
        <v>174</v>
      </c>
      <c r="C18" s="10" t="s">
        <v>164</v>
      </c>
      <c r="D18" s="15" t="s">
        <v>148</v>
      </c>
      <c r="E18" s="10" t="s">
        <v>175</v>
      </c>
      <c r="F18" s="13" t="n">
        <v>1200</v>
      </c>
      <c r="G18" s="13" t="n">
        <v>1122</v>
      </c>
      <c r="H18" s="10"/>
      <c r="I18" s="4" t="s">
        <v>176</v>
      </c>
      <c r="J18" s="14" t="s">
        <v>146</v>
      </c>
    </row>
    <row r="19" customFormat="false" ht="15" hidden="false" customHeight="true" outlineLevel="0" collapsed="false">
      <c r="A19" s="10" t="n">
        <v>16</v>
      </c>
      <c r="B19" s="17" t="s">
        <v>177</v>
      </c>
      <c r="C19" s="10" t="s">
        <v>164</v>
      </c>
      <c r="D19" s="15" t="s">
        <v>170</v>
      </c>
      <c r="E19" s="10" t="s">
        <v>158</v>
      </c>
      <c r="F19" s="13" t="n">
        <v>250</v>
      </c>
      <c r="G19" s="13" t="n">
        <v>250</v>
      </c>
      <c r="H19" s="10"/>
      <c r="I19" s="4" t="s">
        <v>178</v>
      </c>
      <c r="J19" s="14" t="s">
        <v>146</v>
      </c>
    </row>
    <row r="20" customFormat="false" ht="15" hidden="false" customHeight="true" outlineLevel="0" collapsed="false">
      <c r="A20" s="10" t="n">
        <v>17</v>
      </c>
      <c r="B20" s="17" t="s">
        <v>179</v>
      </c>
      <c r="C20" s="10" t="s">
        <v>164</v>
      </c>
      <c r="D20" s="12" t="s">
        <v>144</v>
      </c>
      <c r="E20" s="10" t="s">
        <v>180</v>
      </c>
      <c r="F20" s="13" t="n">
        <v>1148</v>
      </c>
      <c r="G20" s="13" t="n">
        <v>1148</v>
      </c>
      <c r="H20" s="10"/>
      <c r="I20" s="4"/>
      <c r="J20" s="14" t="s">
        <v>146</v>
      </c>
    </row>
    <row r="21" customFormat="false" ht="15" hidden="false" customHeight="true" outlineLevel="0" collapsed="false">
      <c r="A21" s="10" t="n">
        <v>18</v>
      </c>
      <c r="B21" s="17" t="s">
        <v>181</v>
      </c>
      <c r="C21" s="10" t="s">
        <v>164</v>
      </c>
      <c r="D21" s="12" t="s">
        <v>144</v>
      </c>
      <c r="E21" s="10" t="s">
        <v>180</v>
      </c>
      <c r="F21" s="13" t="n">
        <v>383</v>
      </c>
      <c r="G21" s="13" t="n">
        <v>383</v>
      </c>
      <c r="H21" s="10"/>
      <c r="I21" s="4"/>
      <c r="J21" s="14" t="s">
        <v>146</v>
      </c>
    </row>
    <row r="22" customFormat="false" ht="15" hidden="false" customHeight="true" outlineLevel="0" collapsed="false">
      <c r="A22" s="10" t="n">
        <v>19</v>
      </c>
      <c r="B22" s="17" t="s">
        <v>182</v>
      </c>
      <c r="C22" s="10" t="s">
        <v>164</v>
      </c>
      <c r="D22" s="15" t="s">
        <v>148</v>
      </c>
      <c r="E22" s="10" t="s">
        <v>183</v>
      </c>
      <c r="F22" s="13" t="n">
        <v>2640</v>
      </c>
      <c r="G22" s="13" t="n">
        <v>2434</v>
      </c>
      <c r="H22" s="10"/>
      <c r="I22" s="4" t="s">
        <v>184</v>
      </c>
      <c r="J22" s="14" t="s">
        <v>146</v>
      </c>
    </row>
    <row r="23" customFormat="false" ht="15" hidden="false" customHeight="true" outlineLevel="0" collapsed="false">
      <c r="A23" s="10" t="n">
        <v>20</v>
      </c>
      <c r="B23" s="17" t="s">
        <v>185</v>
      </c>
      <c r="C23" s="10" t="s">
        <v>164</v>
      </c>
      <c r="D23" s="15" t="s">
        <v>148</v>
      </c>
      <c r="E23" s="10" t="s">
        <v>186</v>
      </c>
      <c r="F23" s="13" t="n">
        <v>270</v>
      </c>
      <c r="G23" s="13" t="n">
        <v>200</v>
      </c>
      <c r="H23" s="10"/>
      <c r="I23" s="4"/>
      <c r="J23" s="14" t="s">
        <v>146</v>
      </c>
    </row>
    <row r="24" customFormat="false" ht="15" hidden="false" customHeight="true" outlineLevel="0" collapsed="false">
      <c r="A24" s="10" t="n">
        <v>21</v>
      </c>
      <c r="B24" s="17" t="s">
        <v>187</v>
      </c>
      <c r="C24" s="10" t="s">
        <v>164</v>
      </c>
      <c r="D24" s="12" t="s">
        <v>144</v>
      </c>
      <c r="E24" s="10" t="s">
        <v>173</v>
      </c>
      <c r="F24" s="13" t="n">
        <v>702.86</v>
      </c>
      <c r="G24" s="13" t="n">
        <v>703</v>
      </c>
      <c r="H24" s="10"/>
      <c r="I24" s="4"/>
      <c r="J24" s="14" t="s">
        <v>146</v>
      </c>
    </row>
    <row r="25" customFormat="false" ht="15" hidden="false" customHeight="true" outlineLevel="0" collapsed="false">
      <c r="A25" s="10" t="n">
        <v>22</v>
      </c>
      <c r="B25" s="17" t="s">
        <v>188</v>
      </c>
      <c r="C25" s="10" t="s">
        <v>164</v>
      </c>
      <c r="D25" s="12" t="s">
        <v>144</v>
      </c>
      <c r="E25" s="10" t="s">
        <v>188</v>
      </c>
      <c r="F25" s="13" t="n">
        <v>300</v>
      </c>
      <c r="G25" s="13" t="n">
        <v>0</v>
      </c>
      <c r="H25" s="10"/>
      <c r="I25" s="4" t="s">
        <v>189</v>
      </c>
      <c r="J25" s="14" t="s">
        <v>146</v>
      </c>
    </row>
    <row r="26" customFormat="false" ht="15" hidden="false" customHeight="true" outlineLevel="0" collapsed="false">
      <c r="A26" s="10" t="n">
        <v>23</v>
      </c>
      <c r="B26" s="17" t="s">
        <v>190</v>
      </c>
      <c r="C26" s="10" t="s">
        <v>164</v>
      </c>
      <c r="D26" s="15" t="s">
        <v>148</v>
      </c>
      <c r="E26" s="10" t="s">
        <v>190</v>
      </c>
      <c r="F26" s="13" t="n">
        <v>293</v>
      </c>
      <c r="G26" s="13" t="n">
        <v>293</v>
      </c>
      <c r="H26" s="10"/>
      <c r="I26" s="4"/>
      <c r="J26" s="14" t="s">
        <v>146</v>
      </c>
    </row>
    <row r="27" customFormat="false" ht="15" hidden="false" customHeight="true" outlineLevel="0" collapsed="false">
      <c r="A27" s="10" t="n">
        <v>24</v>
      </c>
      <c r="B27" s="18" t="s">
        <v>191</v>
      </c>
      <c r="C27" s="10" t="s">
        <v>192</v>
      </c>
      <c r="D27" s="19" t="s">
        <v>193</v>
      </c>
      <c r="E27" s="10" t="s">
        <v>194</v>
      </c>
      <c r="F27" s="13" t="n">
        <v>440</v>
      </c>
      <c r="G27" s="13" t="n">
        <v>125</v>
      </c>
      <c r="H27" s="10" t="s">
        <v>195</v>
      </c>
      <c r="I27" s="4" t="s">
        <v>196</v>
      </c>
      <c r="J27" s="14" t="s">
        <v>146</v>
      </c>
    </row>
    <row r="28" customFormat="false" ht="15" hidden="false" customHeight="true" outlineLevel="0" collapsed="false">
      <c r="A28" s="10" t="n">
        <v>25</v>
      </c>
      <c r="B28" s="18" t="s">
        <v>197</v>
      </c>
      <c r="C28" s="10" t="s">
        <v>192</v>
      </c>
      <c r="D28" s="19" t="s">
        <v>193</v>
      </c>
      <c r="E28" s="10" t="s">
        <v>194</v>
      </c>
      <c r="F28" s="13" t="n">
        <v>700</v>
      </c>
      <c r="G28" s="13" t="n">
        <v>475.88</v>
      </c>
      <c r="H28" s="10" t="s">
        <v>198</v>
      </c>
      <c r="I28" s="4" t="s">
        <v>196</v>
      </c>
      <c r="J28" s="14" t="s">
        <v>146</v>
      </c>
    </row>
    <row r="29" customFormat="false" ht="15" hidden="false" customHeight="true" outlineLevel="0" collapsed="false">
      <c r="A29" s="10" t="n">
        <v>26</v>
      </c>
      <c r="B29" s="18" t="s">
        <v>199</v>
      </c>
      <c r="C29" s="10" t="s">
        <v>192</v>
      </c>
      <c r="D29" s="19" t="s">
        <v>193</v>
      </c>
      <c r="E29" s="10" t="s">
        <v>194</v>
      </c>
      <c r="F29" s="13" t="n">
        <v>320</v>
      </c>
      <c r="G29" s="13" t="n">
        <v>160</v>
      </c>
      <c r="H29" s="10" t="s">
        <v>200</v>
      </c>
      <c r="I29" s="4" t="s">
        <v>196</v>
      </c>
      <c r="J29" s="14" t="s">
        <v>146</v>
      </c>
    </row>
    <row r="30" customFormat="false" ht="15" hidden="false" customHeight="true" outlineLevel="0" collapsed="false">
      <c r="A30" s="10" t="n">
        <v>27</v>
      </c>
      <c r="B30" s="18" t="s">
        <v>201</v>
      </c>
      <c r="C30" s="10" t="s">
        <v>192</v>
      </c>
      <c r="D30" s="19" t="s">
        <v>193</v>
      </c>
      <c r="E30" s="10" t="s">
        <v>194</v>
      </c>
      <c r="F30" s="13" t="n">
        <v>1080</v>
      </c>
      <c r="G30" s="13" t="n">
        <v>274</v>
      </c>
      <c r="H30" s="10" t="s">
        <v>202</v>
      </c>
      <c r="I30" s="4" t="s">
        <v>196</v>
      </c>
      <c r="J30" s="14" t="s">
        <v>146</v>
      </c>
    </row>
    <row r="31" customFormat="false" ht="15" hidden="false" customHeight="true" outlineLevel="0" collapsed="false">
      <c r="A31" s="10" t="n">
        <v>28</v>
      </c>
      <c r="B31" s="18" t="s">
        <v>203</v>
      </c>
      <c r="C31" s="10" t="s">
        <v>192</v>
      </c>
      <c r="D31" s="15" t="s">
        <v>148</v>
      </c>
      <c r="E31" s="10" t="s">
        <v>204</v>
      </c>
      <c r="F31" s="13" t="n">
        <v>2100</v>
      </c>
      <c r="G31" s="13" t="n">
        <v>380.84</v>
      </c>
      <c r="H31" s="10" t="s">
        <v>205</v>
      </c>
      <c r="I31" s="4" t="s">
        <v>196</v>
      </c>
      <c r="J31" s="14" t="s">
        <v>146</v>
      </c>
    </row>
    <row r="32" customFormat="false" ht="15" hidden="false" customHeight="true" outlineLevel="0" collapsed="false">
      <c r="A32" s="10" t="n">
        <v>29</v>
      </c>
      <c r="B32" s="18" t="s">
        <v>206</v>
      </c>
      <c r="C32" s="10" t="s">
        <v>192</v>
      </c>
      <c r="D32" s="15" t="s">
        <v>148</v>
      </c>
      <c r="E32" s="10" t="s">
        <v>204</v>
      </c>
      <c r="F32" s="13" t="n">
        <v>500</v>
      </c>
      <c r="G32" s="13" t="n">
        <v>130.34</v>
      </c>
      <c r="H32" s="10" t="s">
        <v>207</v>
      </c>
      <c r="I32" s="4" t="s">
        <v>196</v>
      </c>
      <c r="J32" s="14" t="s">
        <v>146</v>
      </c>
    </row>
    <row r="33" customFormat="false" ht="15" hidden="false" customHeight="true" outlineLevel="0" collapsed="false">
      <c r="A33" s="10" t="n">
        <v>30</v>
      </c>
      <c r="B33" s="18" t="s">
        <v>208</v>
      </c>
      <c r="C33" s="10" t="s">
        <v>192</v>
      </c>
      <c r="D33" s="15" t="s">
        <v>148</v>
      </c>
      <c r="E33" s="10" t="s">
        <v>204</v>
      </c>
      <c r="F33" s="13" t="n">
        <v>1260</v>
      </c>
      <c r="G33" s="13" t="n">
        <v>247.74</v>
      </c>
      <c r="H33" s="10" t="s">
        <v>209</v>
      </c>
      <c r="I33" s="4" t="s">
        <v>196</v>
      </c>
      <c r="J33" s="14" t="s">
        <v>146</v>
      </c>
    </row>
    <row r="34" customFormat="false" ht="15" hidden="false" customHeight="true" outlineLevel="0" collapsed="false">
      <c r="A34" s="10" t="n">
        <v>31</v>
      </c>
      <c r="B34" s="18" t="s">
        <v>210</v>
      </c>
      <c r="C34" s="10" t="s">
        <v>192</v>
      </c>
      <c r="D34" s="15" t="s">
        <v>148</v>
      </c>
      <c r="E34" s="10" t="s">
        <v>204</v>
      </c>
      <c r="F34" s="13" t="n">
        <v>1000</v>
      </c>
      <c r="G34" s="13" t="n">
        <v>252.64</v>
      </c>
      <c r="H34" s="10" t="s">
        <v>211</v>
      </c>
      <c r="I34" s="4" t="s">
        <v>196</v>
      </c>
      <c r="J34" s="14" t="s">
        <v>146</v>
      </c>
    </row>
    <row r="35" customFormat="false" ht="15" hidden="false" customHeight="true" outlineLevel="0" collapsed="false">
      <c r="A35" s="10" t="n">
        <v>32</v>
      </c>
      <c r="B35" s="18" t="s">
        <v>212</v>
      </c>
      <c r="C35" s="10" t="s">
        <v>192</v>
      </c>
      <c r="D35" s="15" t="s">
        <v>148</v>
      </c>
      <c r="E35" s="10" t="s">
        <v>204</v>
      </c>
      <c r="F35" s="13" t="n">
        <v>1000</v>
      </c>
      <c r="G35" s="13" t="n">
        <v>279.64</v>
      </c>
      <c r="H35" s="10" t="s">
        <v>213</v>
      </c>
      <c r="I35" s="4" t="s">
        <v>196</v>
      </c>
      <c r="J35" s="14" t="s">
        <v>146</v>
      </c>
    </row>
    <row r="36" customFormat="false" ht="15" hidden="false" customHeight="true" outlineLevel="0" collapsed="false">
      <c r="A36" s="10" t="n">
        <v>33</v>
      </c>
      <c r="B36" s="18" t="s">
        <v>214</v>
      </c>
      <c r="C36" s="10" t="s">
        <v>192</v>
      </c>
      <c r="D36" s="15" t="s">
        <v>148</v>
      </c>
      <c r="E36" s="10" t="s">
        <v>204</v>
      </c>
      <c r="F36" s="13" t="n">
        <v>1000</v>
      </c>
      <c r="G36" s="13" t="n">
        <v>258.6</v>
      </c>
      <c r="H36" s="10" t="s">
        <v>215</v>
      </c>
      <c r="I36" s="4" t="s">
        <v>196</v>
      </c>
      <c r="J36" s="14" t="s">
        <v>146</v>
      </c>
    </row>
    <row r="37" customFormat="false" ht="15" hidden="false" customHeight="true" outlineLevel="0" collapsed="false">
      <c r="A37" s="10" t="n">
        <v>34</v>
      </c>
      <c r="B37" s="18" t="s">
        <v>216</v>
      </c>
      <c r="C37" s="10" t="s">
        <v>192</v>
      </c>
      <c r="D37" s="15" t="s">
        <v>148</v>
      </c>
      <c r="E37" s="10" t="s">
        <v>204</v>
      </c>
      <c r="F37" s="13" t="n">
        <v>500</v>
      </c>
      <c r="G37" s="13" t="n">
        <v>102.79</v>
      </c>
      <c r="H37" s="10" t="s">
        <v>217</v>
      </c>
      <c r="I37" s="4" t="s">
        <v>196</v>
      </c>
      <c r="J37" s="14" t="s">
        <v>146</v>
      </c>
    </row>
    <row r="38" customFormat="false" ht="15" hidden="false" customHeight="true" outlineLevel="0" collapsed="false">
      <c r="A38" s="10" t="n">
        <v>35</v>
      </c>
      <c r="B38" s="18" t="s">
        <v>218</v>
      </c>
      <c r="C38" s="10" t="s">
        <v>192</v>
      </c>
      <c r="D38" s="12" t="s">
        <v>144</v>
      </c>
      <c r="E38" s="10" t="s">
        <v>204</v>
      </c>
      <c r="F38" s="13" t="n">
        <v>657.4</v>
      </c>
      <c r="G38" s="13" t="n">
        <v>237</v>
      </c>
      <c r="H38" s="10" t="s">
        <v>219</v>
      </c>
      <c r="I38" s="4" t="s">
        <v>196</v>
      </c>
      <c r="J38" s="14" t="s">
        <v>146</v>
      </c>
    </row>
    <row r="39" customFormat="false" ht="15" hidden="false" customHeight="true" outlineLevel="0" collapsed="false">
      <c r="A39" s="10" t="n">
        <v>36</v>
      </c>
      <c r="B39" s="18" t="s">
        <v>220</v>
      </c>
      <c r="C39" s="10" t="s">
        <v>192</v>
      </c>
      <c r="D39" s="12" t="s">
        <v>144</v>
      </c>
      <c r="E39" s="10" t="s">
        <v>204</v>
      </c>
      <c r="F39" s="13" t="n">
        <v>656.2</v>
      </c>
      <c r="G39" s="13" t="n">
        <v>187</v>
      </c>
      <c r="H39" s="10" t="s">
        <v>221</v>
      </c>
      <c r="I39" s="4" t="s">
        <v>196</v>
      </c>
      <c r="J39" s="14" t="s">
        <v>146</v>
      </c>
    </row>
    <row r="40" customFormat="false" ht="15" hidden="false" customHeight="true" outlineLevel="0" collapsed="false">
      <c r="A40" s="10" t="n">
        <v>37</v>
      </c>
      <c r="B40" s="18" t="s">
        <v>222</v>
      </c>
      <c r="C40" s="10" t="s">
        <v>192</v>
      </c>
      <c r="D40" s="15" t="s">
        <v>148</v>
      </c>
      <c r="E40" s="10" t="s">
        <v>204</v>
      </c>
      <c r="F40" s="13" t="n">
        <v>1980</v>
      </c>
      <c r="G40" s="13" t="n">
        <v>576.99</v>
      </c>
      <c r="H40" s="10" t="s">
        <v>223</v>
      </c>
      <c r="I40" s="4" t="s">
        <v>196</v>
      </c>
      <c r="J40" s="14" t="s">
        <v>146</v>
      </c>
    </row>
    <row r="41" customFormat="false" ht="15" hidden="false" customHeight="true" outlineLevel="0" collapsed="false">
      <c r="A41" s="10" t="n">
        <v>38</v>
      </c>
      <c r="B41" s="18" t="s">
        <v>224</v>
      </c>
      <c r="C41" s="10" t="s">
        <v>192</v>
      </c>
      <c r="D41" s="15" t="s">
        <v>148</v>
      </c>
      <c r="E41" s="10" t="s">
        <v>204</v>
      </c>
      <c r="F41" s="13" t="n">
        <v>1000</v>
      </c>
      <c r="G41" s="13" t="n">
        <v>286.02</v>
      </c>
      <c r="H41" s="10" t="s">
        <v>225</v>
      </c>
      <c r="I41" s="4" t="s">
        <v>196</v>
      </c>
      <c r="J41" s="14" t="s">
        <v>146</v>
      </c>
    </row>
    <row r="42" customFormat="false" ht="15" hidden="false" customHeight="true" outlineLevel="0" collapsed="false">
      <c r="A42" s="10" t="n">
        <v>39</v>
      </c>
      <c r="B42" s="18" t="s">
        <v>226</v>
      </c>
      <c r="C42" s="10" t="s">
        <v>192</v>
      </c>
      <c r="D42" s="15" t="s">
        <v>148</v>
      </c>
      <c r="E42" s="10" t="s">
        <v>204</v>
      </c>
      <c r="F42" s="13" t="n">
        <v>1600</v>
      </c>
      <c r="G42" s="13" t="n">
        <v>333.83</v>
      </c>
      <c r="H42" s="10" t="s">
        <v>227</v>
      </c>
      <c r="I42" s="4" t="s">
        <v>196</v>
      </c>
      <c r="J42" s="14" t="s">
        <v>146</v>
      </c>
    </row>
    <row r="43" customFormat="false" ht="15" hidden="false" customHeight="true" outlineLevel="0" collapsed="false">
      <c r="A43" s="10" t="n">
        <v>40</v>
      </c>
      <c r="B43" s="18" t="s">
        <v>228</v>
      </c>
      <c r="C43" s="10" t="s">
        <v>192</v>
      </c>
      <c r="D43" s="15" t="s">
        <v>148</v>
      </c>
      <c r="E43" s="10" t="s">
        <v>229</v>
      </c>
      <c r="F43" s="13" t="n">
        <v>4150</v>
      </c>
      <c r="G43" s="13" t="n">
        <v>1805</v>
      </c>
      <c r="H43" s="10" t="s">
        <v>230</v>
      </c>
      <c r="I43" s="4" t="s">
        <v>231</v>
      </c>
      <c r="J43" s="14" t="s">
        <v>146</v>
      </c>
    </row>
    <row r="44" customFormat="false" ht="15" hidden="false" customHeight="true" outlineLevel="0" collapsed="false">
      <c r="A44" s="10" t="n">
        <v>41</v>
      </c>
      <c r="B44" s="18" t="s">
        <v>232</v>
      </c>
      <c r="C44" s="10" t="s">
        <v>192</v>
      </c>
      <c r="D44" s="15" t="s">
        <v>148</v>
      </c>
      <c r="E44" s="10" t="s">
        <v>204</v>
      </c>
      <c r="F44" s="13" t="n">
        <v>1000</v>
      </c>
      <c r="G44" s="13" t="n">
        <v>455.633</v>
      </c>
      <c r="H44" s="10" t="s">
        <v>233</v>
      </c>
      <c r="I44" s="4" t="s">
        <v>196</v>
      </c>
      <c r="J44" s="14" t="s">
        <v>146</v>
      </c>
    </row>
    <row r="45" customFormat="false" ht="15" hidden="false" customHeight="true" outlineLevel="0" collapsed="false">
      <c r="A45" s="10" t="n">
        <v>42</v>
      </c>
      <c r="B45" s="18" t="s">
        <v>234</v>
      </c>
      <c r="C45" s="10" t="s">
        <v>192</v>
      </c>
      <c r="D45" s="15" t="s">
        <v>148</v>
      </c>
      <c r="E45" s="10" t="s">
        <v>204</v>
      </c>
      <c r="F45" s="13" t="n">
        <v>1320</v>
      </c>
      <c r="G45" s="13" t="n">
        <v>530.243</v>
      </c>
      <c r="H45" s="10" t="s">
        <v>235</v>
      </c>
      <c r="I45" s="4" t="s">
        <v>196</v>
      </c>
      <c r="J45" s="14" t="s">
        <v>146</v>
      </c>
    </row>
    <row r="46" customFormat="false" ht="15" hidden="false" customHeight="true" outlineLevel="0" collapsed="false">
      <c r="A46" s="10" t="n">
        <v>43</v>
      </c>
      <c r="B46" s="18" t="s">
        <v>236</v>
      </c>
      <c r="C46" s="10" t="s">
        <v>192</v>
      </c>
      <c r="D46" s="15" t="s">
        <v>148</v>
      </c>
      <c r="E46" s="10" t="s">
        <v>204</v>
      </c>
      <c r="F46" s="13" t="n">
        <v>1600</v>
      </c>
      <c r="G46" s="13" t="n">
        <v>186.478</v>
      </c>
      <c r="H46" s="10" t="s">
        <v>237</v>
      </c>
      <c r="I46" s="4" t="s">
        <v>196</v>
      </c>
      <c r="J46" s="14" t="s">
        <v>146</v>
      </c>
    </row>
    <row r="47" customFormat="false" ht="15" hidden="false" customHeight="true" outlineLevel="0" collapsed="false">
      <c r="A47" s="10" t="n">
        <v>44</v>
      </c>
      <c r="B47" s="18" t="s">
        <v>238</v>
      </c>
      <c r="C47" s="10" t="s">
        <v>192</v>
      </c>
      <c r="D47" s="15" t="s">
        <v>148</v>
      </c>
      <c r="E47" s="10" t="s">
        <v>204</v>
      </c>
      <c r="F47" s="13" t="n">
        <v>1320</v>
      </c>
      <c r="G47" s="13" t="n">
        <v>270.197</v>
      </c>
      <c r="H47" s="10" t="s">
        <v>239</v>
      </c>
      <c r="I47" s="4" t="s">
        <v>196</v>
      </c>
      <c r="J47" s="14" t="s">
        <v>146</v>
      </c>
    </row>
    <row r="48" customFormat="false" ht="15" hidden="false" customHeight="true" outlineLevel="0" collapsed="false">
      <c r="A48" s="10" t="n">
        <v>45</v>
      </c>
      <c r="B48" s="18" t="s">
        <v>240</v>
      </c>
      <c r="C48" s="10" t="s">
        <v>192</v>
      </c>
      <c r="D48" s="15" t="s">
        <v>148</v>
      </c>
      <c r="E48" s="10" t="s">
        <v>204</v>
      </c>
      <c r="F48" s="13" t="n">
        <v>840</v>
      </c>
      <c r="G48" s="13" t="n">
        <v>576.996</v>
      </c>
      <c r="H48" s="10" t="s">
        <v>241</v>
      </c>
      <c r="I48" s="4" t="s">
        <v>196</v>
      </c>
      <c r="J48" s="14" t="s">
        <v>146</v>
      </c>
    </row>
    <row r="49" customFormat="false" ht="15" hidden="false" customHeight="true" outlineLevel="0" collapsed="false">
      <c r="A49" s="10" t="n">
        <v>46</v>
      </c>
      <c r="B49" s="18" t="s">
        <v>242</v>
      </c>
      <c r="C49" s="10" t="s">
        <v>192</v>
      </c>
      <c r="D49" s="16" t="s">
        <v>161</v>
      </c>
      <c r="E49" s="10" t="s">
        <v>243</v>
      </c>
      <c r="F49" s="13" t="n">
        <v>250</v>
      </c>
      <c r="G49" s="13" t="n">
        <v>40</v>
      </c>
      <c r="H49" s="10" t="s">
        <v>244</v>
      </c>
      <c r="I49" s="4" t="s">
        <v>196</v>
      </c>
      <c r="J49" s="14" t="s">
        <v>146</v>
      </c>
    </row>
    <row r="50" customFormat="false" ht="15" hidden="false" customHeight="true" outlineLevel="0" collapsed="false">
      <c r="A50" s="10" t="n">
        <v>47</v>
      </c>
      <c r="B50" s="18" t="s">
        <v>245</v>
      </c>
      <c r="C50" s="10" t="s">
        <v>192</v>
      </c>
      <c r="D50" s="16" t="s">
        <v>161</v>
      </c>
      <c r="E50" s="10" t="s">
        <v>243</v>
      </c>
      <c r="F50" s="13" t="n">
        <v>1200</v>
      </c>
      <c r="G50" s="13" t="n">
        <v>192</v>
      </c>
      <c r="H50" s="10" t="s">
        <v>244</v>
      </c>
      <c r="I50" s="4" t="s">
        <v>196</v>
      </c>
      <c r="J50" s="14" t="s">
        <v>146</v>
      </c>
    </row>
    <row r="51" customFormat="false" ht="15" hidden="false" customHeight="true" outlineLevel="0" collapsed="false">
      <c r="A51" s="10" t="n">
        <v>48</v>
      </c>
      <c r="B51" s="20" t="s">
        <v>246</v>
      </c>
      <c r="C51" s="10" t="s">
        <v>247</v>
      </c>
      <c r="D51" s="12" t="s">
        <v>248</v>
      </c>
      <c r="E51" s="10" t="s">
        <v>249</v>
      </c>
      <c r="F51" s="13" t="n">
        <v>8849.885</v>
      </c>
      <c r="G51" s="13" t="n">
        <v>8849.885</v>
      </c>
      <c r="H51" s="10"/>
      <c r="I51" s="4" t="s">
        <v>250</v>
      </c>
      <c r="J51" s="14" t="s">
        <v>146</v>
      </c>
    </row>
    <row r="52" customFormat="false" ht="15" hidden="false" customHeight="true" outlineLevel="0" collapsed="false">
      <c r="A52" s="10" t="n">
        <v>49</v>
      </c>
      <c r="B52" s="20" t="s">
        <v>251</v>
      </c>
      <c r="C52" s="10" t="s">
        <v>247</v>
      </c>
      <c r="D52" s="12" t="s">
        <v>252</v>
      </c>
      <c r="E52" s="10" t="s">
        <v>249</v>
      </c>
      <c r="F52" s="13" t="n">
        <v>17971.259</v>
      </c>
      <c r="G52" s="13" t="n">
        <v>17971.259</v>
      </c>
      <c r="H52" s="10"/>
      <c r="I52" s="4" t="s">
        <v>253</v>
      </c>
      <c r="J52" s="14" t="s">
        <v>146</v>
      </c>
    </row>
    <row r="53" customFormat="false" ht="15" hidden="false" customHeight="true" outlineLevel="0" collapsed="false">
      <c r="A53" s="10" t="n">
        <v>50</v>
      </c>
      <c r="B53" s="20" t="s">
        <v>254</v>
      </c>
      <c r="C53" s="10" t="s">
        <v>247</v>
      </c>
      <c r="D53" s="12" t="s">
        <v>252</v>
      </c>
      <c r="E53" s="10" t="s">
        <v>249</v>
      </c>
      <c r="F53" s="13" t="n">
        <v>255.9</v>
      </c>
      <c r="G53" s="13" t="n">
        <v>255.9</v>
      </c>
      <c r="H53" s="10"/>
      <c r="I53" s="4"/>
      <c r="J53" s="14" t="s">
        <v>146</v>
      </c>
    </row>
    <row r="54" customFormat="false" ht="15" hidden="false" customHeight="true" outlineLevel="0" collapsed="false">
      <c r="A54" s="10" t="n">
        <v>51</v>
      </c>
      <c r="B54" s="20" t="s">
        <v>255</v>
      </c>
      <c r="C54" s="10" t="s">
        <v>247</v>
      </c>
      <c r="D54" s="12" t="s">
        <v>256</v>
      </c>
      <c r="E54" s="10" t="s">
        <v>249</v>
      </c>
      <c r="F54" s="13" t="n">
        <v>81.65</v>
      </c>
      <c r="G54" s="13" t="n">
        <v>81.65</v>
      </c>
      <c r="H54" s="10"/>
      <c r="I54" s="4"/>
      <c r="J54" s="14" t="s">
        <v>146</v>
      </c>
    </row>
    <row r="55" customFormat="false" ht="15" hidden="false" customHeight="true" outlineLevel="0" collapsed="false">
      <c r="A55" s="21" t="s">
        <v>257</v>
      </c>
      <c r="B55" s="21"/>
      <c r="C55" s="21"/>
      <c r="D55" s="21"/>
      <c r="E55" s="21"/>
      <c r="F55" s="22" t="n">
        <f aca="false">SUM(F4:F54)</f>
        <v>69854.254</v>
      </c>
      <c r="G55" s="22" t="n">
        <f aca="false">SUM(G4:G54)</f>
        <v>49932.221</v>
      </c>
      <c r="H55" s="23"/>
      <c r="I55" s="23"/>
      <c r="J55" s="23"/>
    </row>
  </sheetData>
  <mergeCells count="2">
    <mergeCell ref="A1:K1"/>
    <mergeCell ref="A55:E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14"/>
    <col collapsed="false" customWidth="true" hidden="false" outlineLevel="0" max="5" min="4" style="1" width="18"/>
    <col collapsed="false" customWidth="true" hidden="false" outlineLevel="0" max="6" min="6" style="1" width="32"/>
    <col collapsed="false" customWidth="true" hidden="false" outlineLevel="0" max="7" min="7" style="1" width="12"/>
    <col collapsed="false" customWidth="true" hidden="false" outlineLevel="0" max="8" min="8" style="1" width="20"/>
  </cols>
  <sheetData>
    <row r="1" customFormat="false" ht="27.75" hidden="false" customHeight="true" outlineLevel="0" collapsed="false">
      <c r="A1" s="8" t="s">
        <v>258</v>
      </c>
      <c r="B1" s="8"/>
      <c r="C1" s="8"/>
      <c r="D1" s="8"/>
      <c r="E1" s="8"/>
      <c r="F1" s="8"/>
      <c r="G1" s="8"/>
      <c r="H1" s="8"/>
    </row>
    <row r="2" customFormat="false" ht="36" hidden="false" customHeight="true" outlineLevel="0" collapsed="false">
      <c r="A2" s="3" t="s">
        <v>132</v>
      </c>
      <c r="B2" s="3" t="s">
        <v>259</v>
      </c>
      <c r="C2" s="3" t="s">
        <v>260</v>
      </c>
      <c r="D2" s="3" t="s">
        <v>137</v>
      </c>
      <c r="E2" s="3" t="s">
        <v>261</v>
      </c>
      <c r="F2" s="3" t="s">
        <v>262</v>
      </c>
      <c r="G2" s="3" t="s">
        <v>263</v>
      </c>
      <c r="H2" s="3" t="s">
        <v>3</v>
      </c>
    </row>
    <row r="3" customFormat="false" ht="15" hidden="false" customHeight="true" outlineLevel="0" collapsed="false">
      <c r="A3" s="10" t="n">
        <v>1</v>
      </c>
      <c r="B3" s="11" t="s">
        <v>264</v>
      </c>
      <c r="C3" s="10" t="s">
        <v>265</v>
      </c>
      <c r="D3" s="13" t="n">
        <v>120</v>
      </c>
      <c r="E3" s="13" t="n">
        <v>75.65</v>
      </c>
      <c r="F3" s="4"/>
      <c r="G3" s="15" t="s">
        <v>148</v>
      </c>
      <c r="H3" s="14" t="s">
        <v>266</v>
      </c>
    </row>
    <row r="4" customFormat="false" ht="15" hidden="false" customHeight="true" outlineLevel="0" collapsed="false">
      <c r="A4" s="10" t="n">
        <v>2</v>
      </c>
      <c r="B4" s="11" t="s">
        <v>264</v>
      </c>
      <c r="C4" s="10" t="s">
        <v>267</v>
      </c>
      <c r="D4" s="13" t="n">
        <v>120</v>
      </c>
      <c r="E4" s="13" t="n">
        <v>80.1</v>
      </c>
      <c r="F4" s="4"/>
      <c r="G4" s="15" t="s">
        <v>148</v>
      </c>
      <c r="H4" s="14" t="s">
        <v>266</v>
      </c>
    </row>
    <row r="5" customFormat="false" ht="15" hidden="false" customHeight="true" outlineLevel="0" collapsed="false">
      <c r="A5" s="10" t="n">
        <v>3</v>
      </c>
      <c r="B5" s="11" t="s">
        <v>264</v>
      </c>
      <c r="C5" s="10" t="s">
        <v>268</v>
      </c>
      <c r="D5" s="13" t="n">
        <v>250</v>
      </c>
      <c r="E5" s="13" t="n">
        <v>165</v>
      </c>
      <c r="F5" s="4"/>
      <c r="G5" s="15" t="s">
        <v>148</v>
      </c>
      <c r="H5" s="14" t="s">
        <v>266</v>
      </c>
    </row>
    <row r="6" customFormat="false" ht="15" hidden="false" customHeight="true" outlineLevel="0" collapsed="false">
      <c r="A6" s="10" t="n">
        <v>4</v>
      </c>
      <c r="B6" s="11" t="s">
        <v>269</v>
      </c>
      <c r="C6" s="10" t="s">
        <v>265</v>
      </c>
      <c r="D6" s="13" t="n">
        <v>70</v>
      </c>
      <c r="E6" s="13" t="n">
        <v>39.488</v>
      </c>
      <c r="F6" s="4"/>
      <c r="G6" s="15" t="s">
        <v>148</v>
      </c>
      <c r="H6" s="14" t="s">
        <v>266</v>
      </c>
    </row>
    <row r="7" customFormat="false" ht="15" hidden="false" customHeight="true" outlineLevel="0" collapsed="false">
      <c r="A7" s="10" t="n">
        <v>5</v>
      </c>
      <c r="B7" s="11" t="s">
        <v>269</v>
      </c>
      <c r="C7" s="10" t="s">
        <v>267</v>
      </c>
      <c r="D7" s="13" t="n">
        <v>70</v>
      </c>
      <c r="E7" s="13" t="n">
        <v>39.488</v>
      </c>
      <c r="F7" s="4"/>
      <c r="G7" s="15" t="s">
        <v>148</v>
      </c>
      <c r="H7" s="14" t="s">
        <v>266</v>
      </c>
    </row>
    <row r="8" customFormat="false" ht="15" hidden="false" customHeight="true" outlineLevel="0" collapsed="false">
      <c r="A8" s="10" t="n">
        <v>6</v>
      </c>
      <c r="B8" s="11" t="s">
        <v>269</v>
      </c>
      <c r="C8" s="10" t="s">
        <v>268</v>
      </c>
      <c r="D8" s="13" t="n">
        <v>75</v>
      </c>
      <c r="E8" s="13" t="n">
        <v>43.875</v>
      </c>
      <c r="F8" s="4"/>
      <c r="G8" s="15" t="s">
        <v>148</v>
      </c>
      <c r="H8" s="14" t="s">
        <v>266</v>
      </c>
    </row>
    <row r="9" customFormat="false" ht="15" hidden="false" customHeight="true" outlineLevel="0" collapsed="false">
      <c r="A9" s="10" t="n">
        <v>7</v>
      </c>
      <c r="B9" s="11" t="s">
        <v>269</v>
      </c>
      <c r="C9" s="10" t="s">
        <v>270</v>
      </c>
      <c r="D9" s="13" t="n">
        <v>75</v>
      </c>
      <c r="E9" s="13" t="n">
        <v>43.88</v>
      </c>
      <c r="F9" s="4"/>
      <c r="G9" s="15" t="s">
        <v>148</v>
      </c>
      <c r="H9" s="14" t="s">
        <v>266</v>
      </c>
    </row>
    <row r="10" customFormat="false" ht="15" hidden="false" customHeight="true" outlineLevel="0" collapsed="false">
      <c r="A10" s="10" t="n">
        <v>8</v>
      </c>
      <c r="B10" s="11" t="s">
        <v>271</v>
      </c>
      <c r="C10" s="10" t="s">
        <v>265</v>
      </c>
      <c r="D10" s="13" t="n">
        <v>120</v>
      </c>
      <c r="E10" s="13" t="n">
        <v>62</v>
      </c>
      <c r="F10" s="4"/>
      <c r="G10" s="15" t="s">
        <v>148</v>
      </c>
      <c r="H10" s="14" t="s">
        <v>266</v>
      </c>
    </row>
    <row r="11" customFormat="false" ht="15" hidden="false" customHeight="true" outlineLevel="0" collapsed="false">
      <c r="A11" s="10" t="n">
        <v>9</v>
      </c>
      <c r="B11" s="11" t="s">
        <v>271</v>
      </c>
      <c r="C11" s="10" t="s">
        <v>267</v>
      </c>
      <c r="D11" s="13" t="n">
        <v>120</v>
      </c>
      <c r="E11" s="13" t="n">
        <v>62</v>
      </c>
      <c r="F11" s="4"/>
      <c r="G11" s="15" t="s">
        <v>148</v>
      </c>
      <c r="H11" s="14" t="s">
        <v>266</v>
      </c>
    </row>
    <row r="12" customFormat="false" ht="15" hidden="false" customHeight="true" outlineLevel="0" collapsed="false">
      <c r="A12" s="10" t="n">
        <v>10</v>
      </c>
      <c r="B12" s="11" t="s">
        <v>271</v>
      </c>
      <c r="C12" s="10" t="s">
        <v>268</v>
      </c>
      <c r="D12" s="13" t="n">
        <v>210</v>
      </c>
      <c r="E12" s="13" t="n">
        <v>141</v>
      </c>
      <c r="F12" s="4"/>
      <c r="G12" s="15" t="s">
        <v>148</v>
      </c>
      <c r="H12" s="14" t="s">
        <v>266</v>
      </c>
    </row>
    <row r="13" customFormat="false" ht="15" hidden="false" customHeight="true" outlineLevel="0" collapsed="false">
      <c r="A13" s="10" t="n">
        <v>11</v>
      </c>
      <c r="B13" s="11" t="s">
        <v>271</v>
      </c>
      <c r="C13" s="10" t="s">
        <v>270</v>
      </c>
      <c r="D13" s="13" t="n">
        <v>210</v>
      </c>
      <c r="E13" s="13" t="n">
        <v>141</v>
      </c>
      <c r="F13" s="4"/>
      <c r="G13" s="15" t="s">
        <v>148</v>
      </c>
      <c r="H13" s="14" t="s">
        <v>266</v>
      </c>
    </row>
    <row r="14" customFormat="false" ht="15" hidden="false" customHeight="true" outlineLevel="0" collapsed="false">
      <c r="A14" s="10" t="n">
        <v>12</v>
      </c>
      <c r="B14" s="11" t="s">
        <v>271</v>
      </c>
      <c r="C14" s="10" t="s">
        <v>272</v>
      </c>
      <c r="D14" s="13" t="n">
        <v>210</v>
      </c>
      <c r="E14" s="13" t="n">
        <v>154</v>
      </c>
      <c r="F14" s="4" t="s">
        <v>273</v>
      </c>
      <c r="G14" s="15" t="s">
        <v>148</v>
      </c>
      <c r="H14" s="14" t="s">
        <v>266</v>
      </c>
    </row>
    <row r="15" customFormat="false" ht="15" hidden="false" customHeight="true" outlineLevel="0" collapsed="false">
      <c r="A15" s="10" t="n">
        <v>13</v>
      </c>
      <c r="B15" s="11" t="s">
        <v>147</v>
      </c>
      <c r="C15" s="10" t="s">
        <v>265</v>
      </c>
      <c r="D15" s="13" t="n">
        <v>120</v>
      </c>
      <c r="E15" s="13" t="n">
        <v>62</v>
      </c>
      <c r="F15" s="4"/>
      <c r="G15" s="15" t="s">
        <v>148</v>
      </c>
      <c r="H15" s="14" t="s">
        <v>266</v>
      </c>
    </row>
    <row r="16" customFormat="false" ht="15" hidden="false" customHeight="true" outlineLevel="0" collapsed="false">
      <c r="A16" s="10" t="n">
        <v>14</v>
      </c>
      <c r="B16" s="11" t="s">
        <v>147</v>
      </c>
      <c r="C16" s="10" t="s">
        <v>267</v>
      </c>
      <c r="D16" s="13" t="n">
        <v>120</v>
      </c>
      <c r="E16" s="13" t="n">
        <v>61.5</v>
      </c>
      <c r="F16" s="4"/>
      <c r="G16" s="15" t="s">
        <v>148</v>
      </c>
      <c r="H16" s="14" t="s">
        <v>266</v>
      </c>
    </row>
    <row r="17" customFormat="false" ht="15" hidden="false" customHeight="true" outlineLevel="0" collapsed="false">
      <c r="A17" s="10" t="n">
        <v>15</v>
      </c>
      <c r="B17" s="11" t="s">
        <v>147</v>
      </c>
      <c r="C17" s="10" t="s">
        <v>268</v>
      </c>
      <c r="D17" s="13" t="n">
        <v>200</v>
      </c>
      <c r="E17" s="13" t="n">
        <v>135</v>
      </c>
      <c r="F17" s="4"/>
      <c r="G17" s="15" t="s">
        <v>148</v>
      </c>
      <c r="H17" s="14" t="s">
        <v>266</v>
      </c>
    </row>
    <row r="18" customFormat="false" ht="15" hidden="false" customHeight="true" outlineLevel="0" collapsed="false">
      <c r="A18" s="10" t="n">
        <v>16</v>
      </c>
      <c r="B18" s="11" t="s">
        <v>147</v>
      </c>
      <c r="C18" s="10" t="s">
        <v>270</v>
      </c>
      <c r="D18" s="13" t="n">
        <v>200</v>
      </c>
      <c r="E18" s="13" t="n">
        <v>135</v>
      </c>
      <c r="F18" s="4"/>
      <c r="G18" s="15" t="s">
        <v>148</v>
      </c>
      <c r="H18" s="14" t="s">
        <v>266</v>
      </c>
    </row>
    <row r="19" customFormat="false" ht="15" hidden="false" customHeight="true" outlineLevel="0" collapsed="false">
      <c r="A19" s="10" t="n">
        <v>17</v>
      </c>
      <c r="B19" s="11" t="s">
        <v>147</v>
      </c>
      <c r="C19" s="10" t="s">
        <v>272</v>
      </c>
      <c r="D19" s="13" t="n">
        <v>210</v>
      </c>
      <c r="E19" s="13" t="n">
        <v>150.5</v>
      </c>
      <c r="F19" s="4"/>
      <c r="G19" s="15" t="s">
        <v>148</v>
      </c>
      <c r="H19" s="14" t="s">
        <v>266</v>
      </c>
    </row>
    <row r="20" customFormat="false" ht="15" hidden="false" customHeight="true" outlineLevel="0" collapsed="false">
      <c r="A20" s="10" t="n">
        <v>18</v>
      </c>
      <c r="B20" s="11" t="s">
        <v>147</v>
      </c>
      <c r="C20" s="10" t="s">
        <v>274</v>
      </c>
      <c r="D20" s="13" t="n">
        <v>500</v>
      </c>
      <c r="E20" s="13" t="n">
        <v>336.6</v>
      </c>
      <c r="F20" s="4"/>
      <c r="G20" s="15" t="s">
        <v>148</v>
      </c>
      <c r="H20" s="14" t="s">
        <v>266</v>
      </c>
    </row>
    <row r="21" customFormat="false" ht="15" hidden="false" customHeight="true" outlineLevel="0" collapsed="false">
      <c r="A21" s="10" t="n">
        <v>19</v>
      </c>
      <c r="B21" s="11" t="s">
        <v>275</v>
      </c>
      <c r="C21" s="10" t="s">
        <v>265</v>
      </c>
      <c r="D21" s="13" t="n">
        <v>210</v>
      </c>
      <c r="E21" s="13" t="n">
        <v>144.8</v>
      </c>
      <c r="F21" s="4"/>
      <c r="G21" s="15" t="s">
        <v>148</v>
      </c>
      <c r="H21" s="14" t="s">
        <v>266</v>
      </c>
    </row>
    <row r="22" customFormat="false" ht="15" hidden="false" customHeight="true" outlineLevel="0" collapsed="false">
      <c r="A22" s="10" t="n">
        <v>20</v>
      </c>
      <c r="B22" s="11" t="s">
        <v>275</v>
      </c>
      <c r="C22" s="10" t="s">
        <v>267</v>
      </c>
      <c r="D22" s="13" t="n">
        <v>210</v>
      </c>
      <c r="E22" s="13" t="n">
        <v>144.8</v>
      </c>
      <c r="F22" s="4"/>
      <c r="G22" s="15" t="s">
        <v>148</v>
      </c>
      <c r="H22" s="14" t="s">
        <v>266</v>
      </c>
    </row>
    <row r="23" customFormat="false" ht="15" hidden="false" customHeight="true" outlineLevel="0" collapsed="false">
      <c r="A23" s="10" t="n">
        <v>21</v>
      </c>
      <c r="B23" s="11" t="s">
        <v>275</v>
      </c>
      <c r="C23" s="10" t="s">
        <v>268</v>
      </c>
      <c r="D23" s="13" t="n">
        <v>210</v>
      </c>
      <c r="E23" s="13" t="n">
        <v>144.8</v>
      </c>
      <c r="F23" s="4"/>
      <c r="G23" s="15" t="s">
        <v>148</v>
      </c>
      <c r="H23" s="14" t="s">
        <v>266</v>
      </c>
    </row>
    <row r="24" customFormat="false" ht="15" hidden="false" customHeight="true" outlineLevel="0" collapsed="false">
      <c r="A24" s="10" t="n">
        <v>22</v>
      </c>
      <c r="B24" s="11" t="s">
        <v>275</v>
      </c>
      <c r="C24" s="10" t="s">
        <v>270</v>
      </c>
      <c r="D24" s="13" t="n">
        <v>210</v>
      </c>
      <c r="E24" s="13" t="n">
        <v>144.8</v>
      </c>
      <c r="F24" s="4"/>
      <c r="G24" s="15" t="s">
        <v>148</v>
      </c>
      <c r="H24" s="14" t="s">
        <v>266</v>
      </c>
    </row>
    <row r="25" customFormat="false" ht="15" hidden="false" customHeight="true" outlineLevel="0" collapsed="false">
      <c r="A25" s="10" t="n">
        <v>23</v>
      </c>
      <c r="B25" s="11" t="s">
        <v>275</v>
      </c>
      <c r="C25" s="10" t="s">
        <v>272</v>
      </c>
      <c r="D25" s="13" t="n">
        <v>210</v>
      </c>
      <c r="E25" s="13" t="n">
        <v>144.8</v>
      </c>
      <c r="F25" s="4"/>
      <c r="G25" s="15" t="s">
        <v>148</v>
      </c>
      <c r="H25" s="14" t="s">
        <v>266</v>
      </c>
    </row>
    <row r="26" customFormat="false" ht="15" hidden="false" customHeight="true" outlineLevel="0" collapsed="false">
      <c r="A26" s="10" t="n">
        <v>24</v>
      </c>
      <c r="B26" s="11" t="s">
        <v>275</v>
      </c>
      <c r="C26" s="10" t="s">
        <v>274</v>
      </c>
      <c r="D26" s="13" t="n">
        <v>210</v>
      </c>
      <c r="E26" s="13" t="n">
        <v>144.8</v>
      </c>
      <c r="F26" s="4"/>
      <c r="G26" s="15" t="s">
        <v>148</v>
      </c>
      <c r="H26" s="14" t="s">
        <v>266</v>
      </c>
    </row>
    <row r="27" customFormat="false" ht="15" hidden="false" customHeight="true" outlineLevel="0" collapsed="false">
      <c r="A27" s="10" t="n">
        <v>25</v>
      </c>
      <c r="B27" s="11" t="s">
        <v>275</v>
      </c>
      <c r="C27" s="10" t="s">
        <v>276</v>
      </c>
      <c r="D27" s="13" t="n">
        <v>210</v>
      </c>
      <c r="E27" s="13" t="n">
        <v>144.8</v>
      </c>
      <c r="F27" s="4"/>
      <c r="G27" s="15" t="s">
        <v>148</v>
      </c>
      <c r="H27" s="14" t="s">
        <v>266</v>
      </c>
    </row>
    <row r="28" customFormat="false" ht="15" hidden="false" customHeight="true" outlineLevel="0" collapsed="false">
      <c r="A28" s="10" t="n">
        <v>26</v>
      </c>
      <c r="B28" s="20" t="s">
        <v>277</v>
      </c>
      <c r="C28" s="10" t="s">
        <v>278</v>
      </c>
      <c r="D28" s="13" t="n">
        <v>30</v>
      </c>
      <c r="E28" s="13" t="n">
        <v>30</v>
      </c>
      <c r="F28" s="4" t="s">
        <v>279</v>
      </c>
      <c r="G28" s="12" t="s">
        <v>144</v>
      </c>
      <c r="H28" s="14" t="s">
        <v>266</v>
      </c>
    </row>
    <row r="29" customFormat="false" ht="15" hidden="false" customHeight="true" outlineLevel="0" collapsed="false">
      <c r="A29" s="10" t="n">
        <v>27</v>
      </c>
      <c r="B29" s="20" t="s">
        <v>277</v>
      </c>
      <c r="C29" s="10" t="s">
        <v>280</v>
      </c>
      <c r="D29" s="13" t="n">
        <v>30</v>
      </c>
      <c r="E29" s="13" t="n">
        <v>65</v>
      </c>
      <c r="F29" s="4" t="s">
        <v>281</v>
      </c>
      <c r="G29" s="12" t="s">
        <v>144</v>
      </c>
      <c r="H29" s="14" t="s">
        <v>266</v>
      </c>
    </row>
    <row r="30" customFormat="false" ht="15" hidden="false" customHeight="true" outlineLevel="0" collapsed="false">
      <c r="A30" s="10" t="n">
        <v>28</v>
      </c>
      <c r="B30" s="20" t="s">
        <v>277</v>
      </c>
      <c r="C30" s="10" t="s">
        <v>282</v>
      </c>
      <c r="D30" s="13" t="n">
        <v>30</v>
      </c>
      <c r="E30" s="13" t="n">
        <v>103</v>
      </c>
      <c r="F30" s="4" t="s">
        <v>283</v>
      </c>
      <c r="G30" s="12" t="s">
        <v>144</v>
      </c>
      <c r="H30" s="14" t="s">
        <v>266</v>
      </c>
    </row>
    <row r="31" customFormat="false" ht="15" hidden="false" customHeight="true" outlineLevel="0" collapsed="false">
      <c r="A31" s="10" t="n">
        <v>29</v>
      </c>
      <c r="B31" s="20" t="s">
        <v>277</v>
      </c>
      <c r="C31" s="10" t="s">
        <v>284</v>
      </c>
      <c r="D31" s="13" t="n">
        <v>45</v>
      </c>
      <c r="E31" s="24" t="s">
        <v>42</v>
      </c>
      <c r="F31" s="4"/>
      <c r="G31" s="12" t="s">
        <v>144</v>
      </c>
      <c r="H31" s="14" t="s">
        <v>266</v>
      </c>
    </row>
    <row r="32" customFormat="false" ht="15" hidden="false" customHeight="true" outlineLevel="0" collapsed="false">
      <c r="A32" s="10" t="n">
        <v>30</v>
      </c>
      <c r="B32" s="20" t="s">
        <v>285</v>
      </c>
      <c r="C32" s="10" t="s">
        <v>286</v>
      </c>
      <c r="D32" s="13" t="n">
        <v>67.85</v>
      </c>
      <c r="E32" s="24" t="s">
        <v>287</v>
      </c>
      <c r="F32" s="4"/>
      <c r="G32" s="12" t="s">
        <v>144</v>
      </c>
      <c r="H32" s="14" t="s">
        <v>266</v>
      </c>
    </row>
    <row r="33" customFormat="false" ht="15" hidden="false" customHeight="true" outlineLevel="0" collapsed="false">
      <c r="A33" s="10" t="n">
        <v>31</v>
      </c>
      <c r="B33" s="20" t="s">
        <v>285</v>
      </c>
      <c r="C33" s="10" t="s">
        <v>284</v>
      </c>
      <c r="D33" s="13" t="n">
        <v>38.77</v>
      </c>
      <c r="E33" s="24" t="s">
        <v>287</v>
      </c>
      <c r="F33" s="4"/>
      <c r="G33" s="12" t="s">
        <v>144</v>
      </c>
      <c r="H33" s="14" t="s">
        <v>266</v>
      </c>
    </row>
    <row r="34" customFormat="false" ht="15" hidden="false" customHeight="true" outlineLevel="0" collapsed="false">
      <c r="A34" s="10" t="n">
        <v>32</v>
      </c>
      <c r="B34" s="20" t="s">
        <v>288</v>
      </c>
      <c r="C34" s="10" t="s">
        <v>286</v>
      </c>
      <c r="D34" s="13" t="n">
        <v>72.51</v>
      </c>
      <c r="E34" s="24" t="s">
        <v>287</v>
      </c>
      <c r="F34" s="4"/>
      <c r="G34" s="12" t="s">
        <v>144</v>
      </c>
      <c r="H34" s="14" t="s">
        <v>266</v>
      </c>
    </row>
    <row r="35" customFormat="false" ht="15" hidden="false" customHeight="true" outlineLevel="0" collapsed="false">
      <c r="A35" s="10" t="n">
        <v>33</v>
      </c>
      <c r="B35" s="20" t="s">
        <v>288</v>
      </c>
      <c r="C35" s="10" t="s">
        <v>284</v>
      </c>
      <c r="D35" s="13" t="n">
        <v>39.94</v>
      </c>
      <c r="E35" s="24" t="s">
        <v>287</v>
      </c>
      <c r="F35" s="4"/>
      <c r="G35" s="12" t="s">
        <v>144</v>
      </c>
      <c r="H35" s="14" t="s">
        <v>266</v>
      </c>
    </row>
    <row r="36" customFormat="false" ht="15" hidden="false" customHeight="true" outlineLevel="0" collapsed="false">
      <c r="A36" s="10" t="n">
        <v>34</v>
      </c>
      <c r="B36" s="20" t="s">
        <v>289</v>
      </c>
      <c r="C36" s="10" t="s">
        <v>286</v>
      </c>
      <c r="D36" s="13" t="n">
        <v>228</v>
      </c>
      <c r="E36" s="13" t="n">
        <v>69</v>
      </c>
      <c r="F36" s="4" t="s">
        <v>290</v>
      </c>
      <c r="G36" s="12" t="s">
        <v>144</v>
      </c>
      <c r="H36" s="14" t="s">
        <v>266</v>
      </c>
    </row>
    <row r="37" customFormat="false" ht="15" hidden="false" customHeight="true" outlineLevel="0" collapsed="false">
      <c r="A37" s="10" t="n">
        <v>35</v>
      </c>
      <c r="B37" s="20" t="s">
        <v>289</v>
      </c>
      <c r="C37" s="10" t="s">
        <v>291</v>
      </c>
      <c r="D37" s="13" t="s">
        <v>42</v>
      </c>
      <c r="E37" s="13" t="n">
        <v>73</v>
      </c>
      <c r="F37" s="4" t="s">
        <v>292</v>
      </c>
      <c r="G37" s="12" t="s">
        <v>144</v>
      </c>
      <c r="H37" s="14" t="s">
        <v>266</v>
      </c>
    </row>
    <row r="38" customFormat="false" ht="15" hidden="false" customHeight="true" outlineLevel="0" collapsed="false">
      <c r="A38" s="10" t="n">
        <v>36</v>
      </c>
      <c r="B38" s="20" t="s">
        <v>289</v>
      </c>
      <c r="C38" s="10" t="s">
        <v>293</v>
      </c>
      <c r="D38" s="13" t="n">
        <v>374</v>
      </c>
      <c r="E38" s="13" t="n">
        <v>188</v>
      </c>
      <c r="F38" s="4" t="s">
        <v>294</v>
      </c>
      <c r="G38" s="12" t="s">
        <v>144</v>
      </c>
      <c r="H38" s="14" t="s">
        <v>266</v>
      </c>
    </row>
    <row r="39" customFormat="false" ht="15" hidden="false" customHeight="true" outlineLevel="0" collapsed="false">
      <c r="A39" s="10" t="n">
        <v>37</v>
      </c>
      <c r="B39" s="20" t="s">
        <v>295</v>
      </c>
      <c r="C39" s="10" t="s">
        <v>296</v>
      </c>
      <c r="D39" s="13" t="n">
        <v>52</v>
      </c>
      <c r="E39" s="13" t="n">
        <v>51</v>
      </c>
      <c r="F39" s="4" t="s">
        <v>297</v>
      </c>
      <c r="G39" s="12" t="s">
        <v>144</v>
      </c>
      <c r="H39" s="14" t="s">
        <v>266</v>
      </c>
    </row>
    <row r="40" customFormat="false" ht="15" hidden="false" customHeight="true" outlineLevel="0" collapsed="false">
      <c r="A40" s="10" t="n">
        <v>38</v>
      </c>
      <c r="B40" s="20" t="s">
        <v>295</v>
      </c>
      <c r="C40" s="10" t="s">
        <v>298</v>
      </c>
      <c r="D40" s="13" t="n">
        <v>52</v>
      </c>
      <c r="E40" s="13" t="n">
        <v>101</v>
      </c>
      <c r="F40" s="4" t="s">
        <v>299</v>
      </c>
      <c r="G40" s="12" t="s">
        <v>144</v>
      </c>
      <c r="H40" s="14" t="s">
        <v>266</v>
      </c>
    </row>
    <row r="41" customFormat="false" ht="15" hidden="false" customHeight="true" outlineLevel="0" collapsed="false">
      <c r="A41" s="10" t="n">
        <v>39</v>
      </c>
      <c r="B41" s="20" t="s">
        <v>295</v>
      </c>
      <c r="C41" s="10" t="s">
        <v>284</v>
      </c>
      <c r="D41" s="13" t="n">
        <v>52</v>
      </c>
      <c r="E41" s="24" t="s">
        <v>42</v>
      </c>
      <c r="F41" s="4"/>
      <c r="G41" s="12" t="s">
        <v>144</v>
      </c>
      <c r="H41" s="14" t="s">
        <v>266</v>
      </c>
    </row>
    <row r="42" customFormat="false" ht="15" hidden="false" customHeight="true" outlineLevel="0" collapsed="false">
      <c r="A42" s="10" t="n">
        <v>40</v>
      </c>
      <c r="B42" s="20" t="s">
        <v>300</v>
      </c>
      <c r="C42" s="10" t="s">
        <v>278</v>
      </c>
      <c r="D42" s="13" t="n">
        <v>138</v>
      </c>
      <c r="E42" s="13" t="n">
        <v>142</v>
      </c>
      <c r="F42" s="4" t="s">
        <v>301</v>
      </c>
      <c r="G42" s="12" t="s">
        <v>144</v>
      </c>
      <c r="H42" s="14" t="s">
        <v>266</v>
      </c>
    </row>
    <row r="43" customFormat="false" ht="15" hidden="false" customHeight="true" outlineLevel="0" collapsed="false">
      <c r="A43" s="10" t="n">
        <v>41</v>
      </c>
      <c r="B43" s="20" t="s">
        <v>300</v>
      </c>
      <c r="C43" s="10" t="s">
        <v>280</v>
      </c>
      <c r="D43" s="13" t="n">
        <v>138</v>
      </c>
      <c r="E43" s="13" t="n">
        <v>284</v>
      </c>
      <c r="F43" s="4" t="s">
        <v>302</v>
      </c>
      <c r="G43" s="12" t="s">
        <v>144</v>
      </c>
      <c r="H43" s="14" t="s">
        <v>266</v>
      </c>
    </row>
    <row r="44" customFormat="false" ht="15" hidden="false" customHeight="true" outlineLevel="0" collapsed="false">
      <c r="A44" s="10" t="n">
        <v>42</v>
      </c>
      <c r="B44" s="20" t="s">
        <v>300</v>
      </c>
      <c r="C44" s="10" t="s">
        <v>282</v>
      </c>
      <c r="D44" s="13" t="n">
        <v>138</v>
      </c>
      <c r="E44" s="13" t="n">
        <v>426</v>
      </c>
      <c r="F44" s="4" t="s">
        <v>303</v>
      </c>
      <c r="G44" s="12" t="s">
        <v>144</v>
      </c>
      <c r="H44" s="14" t="s">
        <v>266</v>
      </c>
    </row>
    <row r="45" customFormat="false" ht="15" hidden="false" customHeight="true" outlineLevel="0" collapsed="false">
      <c r="A45" s="10" t="n">
        <v>43</v>
      </c>
      <c r="B45" s="20" t="s">
        <v>300</v>
      </c>
      <c r="C45" s="10" t="s">
        <v>284</v>
      </c>
      <c r="D45" s="13" t="n">
        <v>241</v>
      </c>
      <c r="E45" s="24" t="s">
        <v>42</v>
      </c>
      <c r="F45" s="4"/>
      <c r="G45" s="12" t="s">
        <v>144</v>
      </c>
      <c r="H45" s="14" t="s">
        <v>266</v>
      </c>
    </row>
    <row r="46" customFormat="false" ht="15" hidden="false" customHeight="true" outlineLevel="0" collapsed="false">
      <c r="A46" s="10" t="n">
        <v>44</v>
      </c>
      <c r="B46" s="25" t="s">
        <v>169</v>
      </c>
      <c r="C46" s="10" t="s">
        <v>265</v>
      </c>
      <c r="D46" s="13" t="n">
        <v>125</v>
      </c>
      <c r="E46" s="13" t="n">
        <v>60</v>
      </c>
      <c r="F46" s="4"/>
      <c r="G46" s="26" t="s">
        <v>170</v>
      </c>
      <c r="H46" s="14" t="s">
        <v>266</v>
      </c>
    </row>
    <row r="47" customFormat="false" ht="15" hidden="false" customHeight="true" outlineLevel="0" collapsed="false">
      <c r="A47" s="10" t="n">
        <v>45</v>
      </c>
      <c r="B47" s="25" t="s">
        <v>169</v>
      </c>
      <c r="C47" s="10" t="s">
        <v>267</v>
      </c>
      <c r="D47" s="13" t="n">
        <v>125</v>
      </c>
      <c r="E47" s="13" t="n">
        <v>60</v>
      </c>
      <c r="F47" s="4"/>
      <c r="G47" s="26" t="s">
        <v>170</v>
      </c>
      <c r="H47" s="14" t="s">
        <v>266</v>
      </c>
    </row>
    <row r="48" customFormat="false" ht="15" hidden="false" customHeight="true" outlineLevel="0" collapsed="false">
      <c r="A48" s="10" t="n">
        <v>46</v>
      </c>
      <c r="B48" s="25" t="s">
        <v>169</v>
      </c>
      <c r="C48" s="10" t="s">
        <v>268</v>
      </c>
      <c r="D48" s="13" t="n">
        <v>125</v>
      </c>
      <c r="E48" s="13" t="n">
        <v>60</v>
      </c>
      <c r="F48" s="4"/>
      <c r="G48" s="26" t="s">
        <v>170</v>
      </c>
      <c r="H48" s="14" t="s">
        <v>266</v>
      </c>
    </row>
    <row r="49" customFormat="false" ht="15" hidden="false" customHeight="true" outlineLevel="0" collapsed="false">
      <c r="A49" s="10" t="n">
        <v>47</v>
      </c>
      <c r="B49" s="25" t="s">
        <v>169</v>
      </c>
      <c r="C49" s="10" t="s">
        <v>270</v>
      </c>
      <c r="D49" s="13" t="n">
        <v>125</v>
      </c>
      <c r="E49" s="13" t="n">
        <v>60</v>
      </c>
      <c r="F49" s="4"/>
      <c r="G49" s="26" t="s">
        <v>170</v>
      </c>
      <c r="H49" s="14" t="s">
        <v>266</v>
      </c>
    </row>
    <row r="50" customFormat="false" ht="15" hidden="false" customHeight="true" outlineLevel="0" collapsed="false">
      <c r="A50" s="10" t="n">
        <v>48</v>
      </c>
      <c r="B50" s="20" t="s">
        <v>304</v>
      </c>
      <c r="C50" s="10" t="s">
        <v>278</v>
      </c>
      <c r="D50" s="13" t="n">
        <v>32</v>
      </c>
      <c r="E50" s="13" t="n">
        <v>35</v>
      </c>
      <c r="F50" s="4" t="s">
        <v>305</v>
      </c>
      <c r="G50" s="12" t="s">
        <v>144</v>
      </c>
      <c r="H50" s="14" t="s">
        <v>266</v>
      </c>
    </row>
    <row r="51" customFormat="false" ht="15" hidden="false" customHeight="true" outlineLevel="0" collapsed="false">
      <c r="A51" s="10" t="n">
        <v>49</v>
      </c>
      <c r="B51" s="20" t="s">
        <v>304</v>
      </c>
      <c r="C51" s="10" t="s">
        <v>280</v>
      </c>
      <c r="D51" s="13" t="n">
        <v>32</v>
      </c>
      <c r="E51" s="13" t="n">
        <v>65</v>
      </c>
      <c r="F51" s="4" t="s">
        <v>281</v>
      </c>
      <c r="G51" s="12" t="s">
        <v>144</v>
      </c>
      <c r="H51" s="14" t="s">
        <v>266</v>
      </c>
    </row>
    <row r="52" customFormat="false" ht="15" hidden="false" customHeight="true" outlineLevel="0" collapsed="false">
      <c r="A52" s="10" t="n">
        <v>50</v>
      </c>
      <c r="B52" s="20" t="s">
        <v>304</v>
      </c>
      <c r="C52" s="10" t="s">
        <v>282</v>
      </c>
      <c r="D52" s="13" t="n">
        <v>32</v>
      </c>
      <c r="E52" s="13" t="n">
        <v>105</v>
      </c>
      <c r="F52" s="4" t="s">
        <v>306</v>
      </c>
      <c r="G52" s="12" t="s">
        <v>144</v>
      </c>
      <c r="H52" s="14" t="s">
        <v>266</v>
      </c>
    </row>
    <row r="53" customFormat="false" ht="15" hidden="false" customHeight="true" outlineLevel="0" collapsed="false">
      <c r="A53" s="10" t="n">
        <v>51</v>
      </c>
      <c r="B53" s="20" t="s">
        <v>304</v>
      </c>
      <c r="C53" s="10" t="s">
        <v>284</v>
      </c>
      <c r="D53" s="13" t="n">
        <v>49</v>
      </c>
      <c r="E53" s="24" t="s">
        <v>42</v>
      </c>
      <c r="F53" s="4"/>
      <c r="G53" s="12" t="s">
        <v>144</v>
      </c>
      <c r="H53" s="14" t="s">
        <v>266</v>
      </c>
    </row>
    <row r="54" customFormat="false" ht="15" hidden="false" customHeight="true" outlineLevel="0" collapsed="false">
      <c r="A54" s="10" t="n">
        <v>52</v>
      </c>
      <c r="B54" s="20" t="s">
        <v>307</v>
      </c>
      <c r="C54" s="10" t="s">
        <v>286</v>
      </c>
      <c r="D54" s="13" t="n">
        <v>110.4</v>
      </c>
      <c r="E54" s="24" t="s">
        <v>287</v>
      </c>
      <c r="F54" s="4"/>
      <c r="G54" s="12" t="s">
        <v>144</v>
      </c>
      <c r="H54" s="14" t="s">
        <v>266</v>
      </c>
    </row>
    <row r="55" customFormat="false" ht="15" hidden="false" customHeight="true" outlineLevel="0" collapsed="false">
      <c r="A55" s="10" t="n">
        <v>53</v>
      </c>
      <c r="B55" s="20" t="s">
        <v>307</v>
      </c>
      <c r="C55" s="10" t="s">
        <v>284</v>
      </c>
      <c r="D55" s="13" t="n">
        <v>54.6</v>
      </c>
      <c r="E55" s="24" t="s">
        <v>287</v>
      </c>
      <c r="F55" s="4"/>
      <c r="G55" s="12" t="s">
        <v>144</v>
      </c>
      <c r="H55" s="14" t="s">
        <v>266</v>
      </c>
    </row>
    <row r="56" customFormat="false" ht="15" hidden="false" customHeight="true" outlineLevel="0" collapsed="false">
      <c r="A56" s="10" t="n">
        <v>54</v>
      </c>
      <c r="B56" s="25" t="s">
        <v>177</v>
      </c>
      <c r="C56" s="10" t="s">
        <v>265</v>
      </c>
      <c r="D56" s="13" t="n">
        <v>125</v>
      </c>
      <c r="E56" s="13" t="n">
        <v>50</v>
      </c>
      <c r="F56" s="4"/>
      <c r="G56" s="26" t="s">
        <v>170</v>
      </c>
      <c r="H56" s="14" t="s">
        <v>266</v>
      </c>
    </row>
    <row r="57" customFormat="false" ht="15" hidden="false" customHeight="true" outlineLevel="0" collapsed="false">
      <c r="A57" s="10" t="n">
        <v>55</v>
      </c>
      <c r="B57" s="25" t="s">
        <v>177</v>
      </c>
      <c r="C57" s="10" t="s">
        <v>267</v>
      </c>
      <c r="D57" s="13" t="n">
        <v>125</v>
      </c>
      <c r="E57" s="13" t="n">
        <v>50</v>
      </c>
      <c r="F57" s="4"/>
      <c r="G57" s="26" t="s">
        <v>170</v>
      </c>
      <c r="H57" s="14" t="s">
        <v>266</v>
      </c>
    </row>
    <row r="58" customFormat="false" ht="15" hidden="false" customHeight="true" outlineLevel="0" collapsed="false">
      <c r="A58" s="10" t="n">
        <v>56</v>
      </c>
      <c r="B58" s="11" t="s">
        <v>308</v>
      </c>
      <c r="C58" s="10" t="s">
        <v>265</v>
      </c>
      <c r="D58" s="13" t="n">
        <v>330</v>
      </c>
      <c r="E58" s="13" t="n">
        <v>200</v>
      </c>
      <c r="F58" s="4"/>
      <c r="G58" s="15" t="s">
        <v>148</v>
      </c>
      <c r="H58" s="14" t="s">
        <v>266</v>
      </c>
    </row>
    <row r="59" customFormat="false" ht="15" hidden="false" customHeight="true" outlineLevel="0" collapsed="false">
      <c r="A59" s="10" t="n">
        <v>57</v>
      </c>
      <c r="B59" s="11" t="s">
        <v>308</v>
      </c>
      <c r="C59" s="10" t="s">
        <v>267</v>
      </c>
      <c r="D59" s="13" t="n">
        <v>330</v>
      </c>
      <c r="E59" s="13" t="n">
        <v>200</v>
      </c>
      <c r="F59" s="4"/>
      <c r="G59" s="15" t="s">
        <v>148</v>
      </c>
      <c r="H59" s="14" t="s">
        <v>266</v>
      </c>
    </row>
    <row r="60" customFormat="false" ht="15" hidden="false" customHeight="true" outlineLevel="0" collapsed="false">
      <c r="A60" s="10" t="n">
        <v>58</v>
      </c>
      <c r="B60" s="11" t="s">
        <v>308</v>
      </c>
      <c r="C60" s="10" t="s">
        <v>268</v>
      </c>
      <c r="D60" s="13" t="n">
        <v>330</v>
      </c>
      <c r="E60" s="13" t="n">
        <v>200</v>
      </c>
      <c r="F60" s="4"/>
      <c r="G60" s="15" t="s">
        <v>148</v>
      </c>
      <c r="H60" s="14" t="s">
        <v>266</v>
      </c>
    </row>
    <row r="61" customFormat="false" ht="15" hidden="false" customHeight="true" outlineLevel="0" collapsed="false">
      <c r="A61" s="10" t="n">
        <v>59</v>
      </c>
      <c r="B61" s="11" t="s">
        <v>308</v>
      </c>
      <c r="C61" s="10" t="s">
        <v>270</v>
      </c>
      <c r="D61" s="13" t="n">
        <v>330</v>
      </c>
      <c r="E61" s="13" t="n">
        <v>200</v>
      </c>
      <c r="F61" s="4"/>
      <c r="G61" s="15" t="s">
        <v>148</v>
      </c>
      <c r="H61" s="14" t="s">
        <v>266</v>
      </c>
    </row>
    <row r="62" customFormat="false" ht="15" hidden="false" customHeight="true" outlineLevel="0" collapsed="false">
      <c r="A62" s="10" t="n">
        <v>60</v>
      </c>
      <c r="B62" s="11" t="s">
        <v>309</v>
      </c>
      <c r="C62" s="10" t="s">
        <v>265</v>
      </c>
      <c r="D62" s="13" t="n">
        <v>660</v>
      </c>
      <c r="E62" s="13" t="n">
        <v>400</v>
      </c>
      <c r="F62" s="4"/>
      <c r="G62" s="15" t="s">
        <v>148</v>
      </c>
      <c r="H62" s="14" t="s">
        <v>266</v>
      </c>
    </row>
    <row r="63" customFormat="false" ht="15" hidden="false" customHeight="true" outlineLevel="0" collapsed="false">
      <c r="A63" s="10" t="n">
        <v>61</v>
      </c>
      <c r="B63" s="11" t="s">
        <v>309</v>
      </c>
      <c r="C63" s="10" t="s">
        <v>267</v>
      </c>
      <c r="D63" s="13" t="n">
        <v>660</v>
      </c>
      <c r="E63" s="13" t="n">
        <v>400</v>
      </c>
      <c r="F63" s="4"/>
      <c r="G63" s="15" t="s">
        <v>148</v>
      </c>
      <c r="H63" s="14" t="s">
        <v>266</v>
      </c>
    </row>
    <row r="64" customFormat="false" ht="15" hidden="false" customHeight="true" outlineLevel="0" collapsed="false">
      <c r="A64" s="10" t="n">
        <v>62</v>
      </c>
      <c r="B64" s="11" t="s">
        <v>174</v>
      </c>
      <c r="C64" s="10" t="s">
        <v>265</v>
      </c>
      <c r="D64" s="13" t="n">
        <v>600</v>
      </c>
      <c r="E64" s="13" t="n">
        <v>360</v>
      </c>
      <c r="F64" s="4"/>
      <c r="G64" s="15" t="s">
        <v>148</v>
      </c>
      <c r="H64" s="14" t="s">
        <v>266</v>
      </c>
    </row>
    <row r="65" customFormat="false" ht="15" hidden="false" customHeight="true" outlineLevel="0" collapsed="false">
      <c r="A65" s="10" t="n">
        <v>63</v>
      </c>
      <c r="B65" s="11" t="s">
        <v>174</v>
      </c>
      <c r="C65" s="10" t="s">
        <v>267</v>
      </c>
      <c r="D65" s="13" t="n">
        <v>600</v>
      </c>
      <c r="E65" s="13" t="n">
        <v>360</v>
      </c>
      <c r="F65" s="4"/>
      <c r="G65" s="15" t="s">
        <v>148</v>
      </c>
      <c r="H65" s="14" t="s">
        <v>266</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3" min="3" style="1" width="20"/>
    <col collapsed="false" customWidth="true" hidden="false" outlineLevel="0" max="4" min="4" style="1" width="18"/>
    <col collapsed="false" customWidth="true" hidden="false" outlineLevel="0" max="5" min="5" style="1" width="12"/>
    <col collapsed="false" customWidth="true" hidden="false" outlineLevel="0" max="6" min="6" style="1" width="22"/>
    <col collapsed="false" customWidth="true" hidden="false" outlineLevel="0" max="7" min="7" style="1" width="28"/>
  </cols>
  <sheetData>
    <row r="1" customFormat="false" ht="27.75" hidden="false" customHeight="true" outlineLevel="0" collapsed="false">
      <c r="A1" s="8" t="s">
        <v>310</v>
      </c>
      <c r="B1" s="8"/>
      <c r="C1" s="8"/>
      <c r="D1" s="8"/>
      <c r="E1" s="8"/>
      <c r="F1" s="8"/>
      <c r="G1" s="8"/>
    </row>
    <row r="2" customFormat="false" ht="36" hidden="false" customHeight="true" outlineLevel="0" collapsed="false">
      <c r="A2" s="3" t="s">
        <v>311</v>
      </c>
      <c r="B2" s="3" t="s">
        <v>133</v>
      </c>
      <c r="C2" s="3" t="s">
        <v>312</v>
      </c>
      <c r="D2" s="3" t="s">
        <v>313</v>
      </c>
      <c r="E2" s="3" t="s">
        <v>135</v>
      </c>
      <c r="F2" s="3" t="s">
        <v>314</v>
      </c>
      <c r="G2" s="3" t="s">
        <v>6</v>
      </c>
    </row>
    <row r="3" customFormat="false" ht="15" hidden="false" customHeight="true" outlineLevel="0" collapsed="false">
      <c r="A3" s="10" t="n">
        <v>1</v>
      </c>
      <c r="B3" s="27" t="s">
        <v>315</v>
      </c>
      <c r="C3" s="28" t="n">
        <v>2.05</v>
      </c>
      <c r="D3" s="10" t="s">
        <v>316</v>
      </c>
      <c r="E3" s="16" t="s">
        <v>161</v>
      </c>
      <c r="F3" s="14" t="s">
        <v>317</v>
      </c>
      <c r="G3" s="4" t="s">
        <v>318</v>
      </c>
    </row>
    <row r="4" customFormat="false" ht="15" hidden="false" customHeight="true" outlineLevel="0" collapsed="false">
      <c r="A4" s="10" t="n">
        <v>2</v>
      </c>
      <c r="B4" s="17" t="s">
        <v>319</v>
      </c>
      <c r="C4" s="29" t="n">
        <v>2.29</v>
      </c>
      <c r="D4" s="10" t="s">
        <v>316</v>
      </c>
      <c r="E4" s="19" t="s">
        <v>193</v>
      </c>
      <c r="F4" s="14" t="s">
        <v>317</v>
      </c>
      <c r="G4" s="4" t="s">
        <v>318</v>
      </c>
    </row>
    <row r="5" customFormat="false" ht="15" hidden="false" customHeight="true" outlineLevel="0" collapsed="false">
      <c r="A5" s="10" t="n">
        <v>3</v>
      </c>
      <c r="B5" s="17" t="s">
        <v>320</v>
      </c>
      <c r="C5" s="29" t="n">
        <v>2.42</v>
      </c>
      <c r="D5" s="10" t="s">
        <v>316</v>
      </c>
      <c r="E5" s="19" t="s">
        <v>193</v>
      </c>
      <c r="F5" s="14" t="s">
        <v>317</v>
      </c>
      <c r="G5" s="4" t="s">
        <v>318</v>
      </c>
    </row>
    <row r="6" customFormat="false" ht="15" hidden="false" customHeight="true" outlineLevel="0" collapsed="false">
      <c r="A6" s="10" t="n">
        <v>4</v>
      </c>
      <c r="B6" s="17" t="s">
        <v>321</v>
      </c>
      <c r="C6" s="29" t="n">
        <v>3.65</v>
      </c>
      <c r="D6" s="10" t="s">
        <v>316</v>
      </c>
      <c r="E6" s="19" t="s">
        <v>193</v>
      </c>
      <c r="F6" s="14" t="s">
        <v>317</v>
      </c>
      <c r="G6" s="4" t="s">
        <v>318</v>
      </c>
    </row>
    <row r="7" customFormat="false" ht="15" hidden="false" customHeight="true" outlineLevel="0" collapsed="false">
      <c r="A7" s="10" t="n">
        <v>5</v>
      </c>
      <c r="B7" s="17" t="s">
        <v>197</v>
      </c>
      <c r="C7" s="29" t="n">
        <v>4.4</v>
      </c>
      <c r="D7" s="10" t="s">
        <v>316</v>
      </c>
      <c r="E7" s="19" t="s">
        <v>193</v>
      </c>
      <c r="F7" s="14" t="s">
        <v>317</v>
      </c>
      <c r="G7" s="4" t="s">
        <v>318</v>
      </c>
    </row>
    <row r="8" customFormat="false" ht="15" hidden="false" customHeight="true" outlineLevel="0" collapsed="false">
      <c r="A8" s="10" t="n">
        <v>6</v>
      </c>
      <c r="B8" s="11" t="s">
        <v>185</v>
      </c>
      <c r="C8" s="30" t="n">
        <v>1.09</v>
      </c>
      <c r="D8" s="10" t="s">
        <v>316</v>
      </c>
      <c r="E8" s="15" t="s">
        <v>148</v>
      </c>
      <c r="F8" s="14" t="s">
        <v>317</v>
      </c>
      <c r="G8" s="4"/>
    </row>
    <row r="9" customFormat="false" ht="15" hidden="false" customHeight="true" outlineLevel="0" collapsed="false">
      <c r="A9" s="10" t="n">
        <v>7</v>
      </c>
      <c r="B9" s="11" t="s">
        <v>322</v>
      </c>
      <c r="C9" s="30" t="n">
        <v>1.27</v>
      </c>
      <c r="D9" s="10" t="s">
        <v>316</v>
      </c>
      <c r="E9" s="15" t="s">
        <v>148</v>
      </c>
      <c r="F9" s="14" t="s">
        <v>317</v>
      </c>
      <c r="G9" s="4"/>
    </row>
    <row r="10" customFormat="false" ht="15" hidden="false" customHeight="true" outlineLevel="0" collapsed="false">
      <c r="A10" s="10" t="n">
        <v>8</v>
      </c>
      <c r="B10" s="11" t="s">
        <v>323</v>
      </c>
      <c r="C10" s="30" t="n">
        <v>1.31</v>
      </c>
      <c r="D10" s="10" t="s">
        <v>316</v>
      </c>
      <c r="E10" s="15" t="s">
        <v>148</v>
      </c>
      <c r="F10" s="14" t="s">
        <v>317</v>
      </c>
      <c r="G10" s="4"/>
    </row>
    <row r="11" customFormat="false" ht="15" hidden="false" customHeight="true" outlineLevel="0" collapsed="false">
      <c r="A11" s="10" t="n">
        <v>9</v>
      </c>
      <c r="B11" s="11" t="s">
        <v>324</v>
      </c>
      <c r="C11" s="30" t="n">
        <v>1.31</v>
      </c>
      <c r="D11" s="10" t="s">
        <v>316</v>
      </c>
      <c r="E11" s="15" t="s">
        <v>148</v>
      </c>
      <c r="F11" s="14" t="s">
        <v>317</v>
      </c>
      <c r="G11" s="4"/>
    </row>
    <row r="12" customFormat="false" ht="15" hidden="false" customHeight="true" outlineLevel="0" collapsed="false">
      <c r="A12" s="10" t="n">
        <v>10</v>
      </c>
      <c r="B12" s="11" t="s">
        <v>325</v>
      </c>
      <c r="C12" s="30" t="n">
        <v>1.37</v>
      </c>
      <c r="D12" s="10" t="s">
        <v>316</v>
      </c>
      <c r="E12" s="15" t="s">
        <v>148</v>
      </c>
      <c r="F12" s="14" t="s">
        <v>317</v>
      </c>
      <c r="G12" s="4"/>
    </row>
    <row r="13" customFormat="false" ht="15" hidden="false" customHeight="true" outlineLevel="0" collapsed="false">
      <c r="A13" s="10" t="n">
        <v>11</v>
      </c>
      <c r="B13" s="11" t="s">
        <v>326</v>
      </c>
      <c r="C13" s="30" t="n">
        <v>1.39</v>
      </c>
      <c r="D13" s="10" t="s">
        <v>316</v>
      </c>
      <c r="E13" s="15" t="s">
        <v>148</v>
      </c>
      <c r="F13" s="14" t="s">
        <v>317</v>
      </c>
      <c r="G13" s="4"/>
    </row>
    <row r="14" customFormat="false" ht="15" hidden="false" customHeight="true" outlineLevel="0" collapsed="false">
      <c r="A14" s="10" t="n">
        <v>12</v>
      </c>
      <c r="B14" s="11" t="s">
        <v>327</v>
      </c>
      <c r="C14" s="30" t="n">
        <v>1.56</v>
      </c>
      <c r="D14" s="10" t="s">
        <v>316</v>
      </c>
      <c r="E14" s="15" t="s">
        <v>148</v>
      </c>
      <c r="F14" s="14" t="s">
        <v>317</v>
      </c>
      <c r="G14" s="4"/>
    </row>
    <row r="15" customFormat="false" ht="15" hidden="false" customHeight="true" outlineLevel="0" collapsed="false">
      <c r="A15" s="10" t="n">
        <v>13</v>
      </c>
      <c r="B15" s="11" t="s">
        <v>328</v>
      </c>
      <c r="C15" s="30" t="n">
        <v>2.1</v>
      </c>
      <c r="D15" s="10" t="s">
        <v>316</v>
      </c>
      <c r="E15" s="15" t="s">
        <v>148</v>
      </c>
      <c r="F15" s="14" t="s">
        <v>317</v>
      </c>
      <c r="G15" s="4"/>
    </row>
    <row r="16" customFormat="false" ht="15" hidden="false" customHeight="true" outlineLevel="0" collapsed="false">
      <c r="A16" s="10" t="n">
        <v>14</v>
      </c>
      <c r="B16" s="11" t="s">
        <v>329</v>
      </c>
      <c r="C16" s="30" t="n">
        <v>2.12</v>
      </c>
      <c r="D16" s="10" t="s">
        <v>316</v>
      </c>
      <c r="E16" s="15" t="s">
        <v>148</v>
      </c>
      <c r="F16" s="14" t="s">
        <v>317</v>
      </c>
      <c r="G16" s="4"/>
    </row>
    <row r="17" customFormat="false" ht="15" hidden="false" customHeight="true" outlineLevel="0" collapsed="false">
      <c r="A17" s="10" t="n">
        <v>15</v>
      </c>
      <c r="B17" s="11" t="s">
        <v>330</v>
      </c>
      <c r="C17" s="30" t="n">
        <v>2.14</v>
      </c>
      <c r="D17" s="10" t="s">
        <v>316</v>
      </c>
      <c r="E17" s="15" t="s">
        <v>148</v>
      </c>
      <c r="F17" s="14" t="s">
        <v>317</v>
      </c>
      <c r="G17" s="4"/>
    </row>
    <row r="18" customFormat="false" ht="15" hidden="false" customHeight="true" outlineLevel="0" collapsed="false">
      <c r="A18" s="10" t="n">
        <v>16</v>
      </c>
      <c r="B18" s="11" t="s">
        <v>331</v>
      </c>
      <c r="C18" s="30" t="n">
        <v>2.16</v>
      </c>
      <c r="D18" s="10" t="s">
        <v>316</v>
      </c>
      <c r="E18" s="15" t="s">
        <v>148</v>
      </c>
      <c r="F18" s="14" t="s">
        <v>317</v>
      </c>
      <c r="G18" s="4"/>
    </row>
    <row r="19" customFormat="false" ht="15" hidden="false" customHeight="true" outlineLevel="0" collapsed="false">
      <c r="A19" s="10" t="n">
        <v>17</v>
      </c>
      <c r="B19" s="11" t="s">
        <v>332</v>
      </c>
      <c r="C19" s="30" t="n">
        <v>2.23</v>
      </c>
      <c r="D19" s="10" t="s">
        <v>316</v>
      </c>
      <c r="E19" s="15" t="s">
        <v>148</v>
      </c>
      <c r="F19" s="14" t="s">
        <v>317</v>
      </c>
      <c r="G19" s="4"/>
    </row>
    <row r="20" customFormat="false" ht="15" hidden="false" customHeight="true" outlineLevel="0" collapsed="false">
      <c r="A20" s="10" t="n">
        <v>18</v>
      </c>
      <c r="B20" s="25" t="s">
        <v>333</v>
      </c>
      <c r="C20" s="31" t="n">
        <v>2.84</v>
      </c>
      <c r="D20" s="10" t="s">
        <v>334</v>
      </c>
      <c r="E20" s="26" t="s">
        <v>170</v>
      </c>
      <c r="F20" s="14" t="s">
        <v>317</v>
      </c>
      <c r="G20" s="4"/>
    </row>
    <row r="21" customFormat="false" ht="15" hidden="false" customHeight="true" outlineLevel="0" collapsed="false">
      <c r="A21" s="10" t="n">
        <v>19</v>
      </c>
      <c r="B21" s="11" t="s">
        <v>335</v>
      </c>
      <c r="C21" s="30" t="n">
        <v>2.86</v>
      </c>
      <c r="D21" s="10" t="s">
        <v>316</v>
      </c>
      <c r="E21" s="15" t="s">
        <v>148</v>
      </c>
      <c r="F21" s="14" t="s">
        <v>317</v>
      </c>
      <c r="G21" s="4"/>
    </row>
    <row r="22" customFormat="false" ht="15" hidden="false" customHeight="true" outlineLevel="0" collapsed="false">
      <c r="A22" s="10" t="n">
        <v>20</v>
      </c>
      <c r="B22" s="11" t="s">
        <v>336</v>
      </c>
      <c r="C22" s="30" t="n">
        <v>2.98</v>
      </c>
      <c r="D22" s="10" t="s">
        <v>316</v>
      </c>
      <c r="E22" s="15" t="s">
        <v>148</v>
      </c>
      <c r="F22" s="14" t="s">
        <v>317</v>
      </c>
      <c r="G22" s="4"/>
    </row>
    <row r="23" customFormat="false" ht="15" hidden="false" customHeight="true" outlineLevel="0" collapsed="false">
      <c r="A23" s="10" t="n">
        <v>21</v>
      </c>
      <c r="B23" s="11" t="s">
        <v>337</v>
      </c>
      <c r="C23" s="30" t="n">
        <v>3.01</v>
      </c>
      <c r="D23" s="10" t="s">
        <v>316</v>
      </c>
      <c r="E23" s="15" t="s">
        <v>148</v>
      </c>
      <c r="F23" s="14" t="s">
        <v>317</v>
      </c>
      <c r="G23" s="4"/>
    </row>
    <row r="24" customFormat="false" ht="15" hidden="false" customHeight="true" outlineLevel="0" collapsed="false">
      <c r="A24" s="10" t="n">
        <v>22</v>
      </c>
      <c r="B24" s="11" t="s">
        <v>338</v>
      </c>
      <c r="C24" s="30" t="n">
        <v>3.15</v>
      </c>
      <c r="D24" s="10" t="s">
        <v>316</v>
      </c>
      <c r="E24" s="15" t="s">
        <v>148</v>
      </c>
      <c r="F24" s="14" t="s">
        <v>317</v>
      </c>
      <c r="G24" s="4"/>
    </row>
    <row r="25" customFormat="false" ht="15" hidden="false" customHeight="true" outlineLevel="0" collapsed="false">
      <c r="A25" s="10" t="n">
        <v>23</v>
      </c>
      <c r="B25" s="11" t="s">
        <v>339</v>
      </c>
      <c r="C25" s="30" t="n">
        <v>3.19</v>
      </c>
      <c r="D25" s="10" t="s">
        <v>316</v>
      </c>
      <c r="E25" s="15" t="s">
        <v>148</v>
      </c>
      <c r="F25" s="14" t="s">
        <v>317</v>
      </c>
      <c r="G25" s="4"/>
    </row>
    <row r="26" customFormat="false" ht="15" hidden="false" customHeight="true" outlineLevel="0" collapsed="false">
      <c r="A26" s="10" t="n">
        <v>24</v>
      </c>
      <c r="B26" s="11" t="s">
        <v>340</v>
      </c>
      <c r="C26" s="30" t="n">
        <v>3.19</v>
      </c>
      <c r="D26" s="10" t="s">
        <v>316</v>
      </c>
      <c r="E26" s="15" t="s">
        <v>148</v>
      </c>
      <c r="F26" s="14" t="s">
        <v>317</v>
      </c>
      <c r="G26" s="4"/>
    </row>
    <row r="27" customFormat="false" ht="15" hidden="false" customHeight="true" outlineLevel="0" collapsed="false">
      <c r="A27" s="10" t="n">
        <v>25</v>
      </c>
      <c r="B27" s="11" t="s">
        <v>341</v>
      </c>
      <c r="C27" s="30" t="n">
        <v>3.24</v>
      </c>
      <c r="D27" s="10" t="s">
        <v>316</v>
      </c>
      <c r="E27" s="15" t="s">
        <v>148</v>
      </c>
      <c r="F27" s="14" t="s">
        <v>317</v>
      </c>
      <c r="G27" s="4"/>
    </row>
    <row r="28" customFormat="false" ht="15" hidden="false" customHeight="true" outlineLevel="0" collapsed="false">
      <c r="A28" s="10" t="n">
        <v>26</v>
      </c>
      <c r="B28" s="25" t="s">
        <v>342</v>
      </c>
      <c r="C28" s="31" t="n">
        <v>3.36</v>
      </c>
      <c r="D28" s="10" t="s">
        <v>334</v>
      </c>
      <c r="E28" s="26" t="s">
        <v>170</v>
      </c>
      <c r="F28" s="14" t="s">
        <v>317</v>
      </c>
      <c r="G28" s="4"/>
    </row>
    <row r="29" customFormat="false" ht="15" hidden="false" customHeight="true" outlineLevel="0" collapsed="false">
      <c r="A29" s="10" t="n">
        <v>27</v>
      </c>
      <c r="B29" s="11" t="s">
        <v>343</v>
      </c>
      <c r="C29" s="30" t="n">
        <v>3.37</v>
      </c>
      <c r="D29" s="10" t="s">
        <v>316</v>
      </c>
      <c r="E29" s="15" t="s">
        <v>148</v>
      </c>
      <c r="F29" s="14" t="s">
        <v>317</v>
      </c>
      <c r="G29" s="4"/>
    </row>
    <row r="30" customFormat="false" ht="15" hidden="false" customHeight="true" outlineLevel="0" collapsed="false">
      <c r="A30" s="10" t="n">
        <v>28</v>
      </c>
      <c r="B30" s="11" t="s">
        <v>238</v>
      </c>
      <c r="C30" s="30" t="n">
        <v>3.41</v>
      </c>
      <c r="D30" s="10" t="s">
        <v>316</v>
      </c>
      <c r="E30" s="15" t="s">
        <v>148</v>
      </c>
      <c r="F30" s="14" t="s">
        <v>317</v>
      </c>
      <c r="G30" s="4"/>
    </row>
    <row r="31" customFormat="false" ht="15" hidden="false" customHeight="true" outlineLevel="0" collapsed="false">
      <c r="A31" s="10" t="n">
        <v>29</v>
      </c>
      <c r="B31" s="11" t="s">
        <v>344</v>
      </c>
      <c r="C31" s="30" t="n">
        <v>3.44</v>
      </c>
      <c r="D31" s="10" t="s">
        <v>316</v>
      </c>
      <c r="E31" s="15" t="s">
        <v>148</v>
      </c>
      <c r="F31" s="14" t="s">
        <v>317</v>
      </c>
      <c r="G31" s="4"/>
    </row>
    <row r="32" customFormat="false" ht="15" hidden="false" customHeight="true" outlineLevel="0" collapsed="false">
      <c r="A32" s="10" t="n">
        <v>30</v>
      </c>
      <c r="B32" s="25" t="s">
        <v>345</v>
      </c>
      <c r="C32" s="31" t="n">
        <v>3.45</v>
      </c>
      <c r="D32" s="10" t="s">
        <v>334</v>
      </c>
      <c r="E32" s="26" t="s">
        <v>170</v>
      </c>
      <c r="F32" s="14" t="s">
        <v>317</v>
      </c>
      <c r="G32" s="4"/>
    </row>
    <row r="33" customFormat="false" ht="15" hidden="false" customHeight="true" outlineLevel="0" collapsed="false">
      <c r="A33" s="10" t="n">
        <v>31</v>
      </c>
      <c r="B33" s="11" t="s">
        <v>346</v>
      </c>
      <c r="C33" s="30" t="n">
        <v>3.67</v>
      </c>
      <c r="D33" s="10" t="s">
        <v>316</v>
      </c>
      <c r="E33" s="15" t="s">
        <v>148</v>
      </c>
      <c r="F33" s="14" t="s">
        <v>317</v>
      </c>
      <c r="G33" s="4"/>
    </row>
    <row r="34" customFormat="false" ht="15" hidden="false" customHeight="true" outlineLevel="0" collapsed="false">
      <c r="A34" s="10" t="n">
        <v>32</v>
      </c>
      <c r="B34" s="11" t="s">
        <v>347</v>
      </c>
      <c r="C34" s="30" t="n">
        <v>4.19</v>
      </c>
      <c r="D34" s="10" t="s">
        <v>316</v>
      </c>
      <c r="E34" s="15" t="s">
        <v>148</v>
      </c>
      <c r="F34" s="14" t="s">
        <v>317</v>
      </c>
      <c r="G34" s="4"/>
    </row>
    <row r="35" customFormat="false" ht="15" hidden="false" customHeight="true" outlineLevel="0" collapsed="false">
      <c r="A35" s="10" t="n">
        <v>33</v>
      </c>
      <c r="B35" s="25" t="s">
        <v>348</v>
      </c>
      <c r="C35" s="31" t="n">
        <v>4.23</v>
      </c>
      <c r="D35" s="10" t="s">
        <v>334</v>
      </c>
      <c r="E35" s="26" t="s">
        <v>170</v>
      </c>
      <c r="F35" s="14" t="s">
        <v>317</v>
      </c>
      <c r="G35" s="4"/>
    </row>
    <row r="36" customFormat="false" ht="15" hidden="false" customHeight="true" outlineLevel="0" collapsed="false">
      <c r="A36" s="10" t="n">
        <v>34</v>
      </c>
      <c r="B36" s="11" t="s">
        <v>240</v>
      </c>
      <c r="C36" s="30" t="n">
        <v>4.26</v>
      </c>
      <c r="D36" s="10" t="s">
        <v>316</v>
      </c>
      <c r="E36" s="15" t="s">
        <v>148</v>
      </c>
      <c r="F36" s="14" t="s">
        <v>317</v>
      </c>
      <c r="G36" s="4"/>
    </row>
    <row r="37" customFormat="false" ht="15" hidden="false" customHeight="true" outlineLevel="0" collapsed="false">
      <c r="A37" s="10" t="n">
        <v>35</v>
      </c>
      <c r="B37" s="11" t="s">
        <v>349</v>
      </c>
      <c r="C37" s="30" t="n">
        <v>4.41</v>
      </c>
      <c r="D37" s="10" t="s">
        <v>334</v>
      </c>
      <c r="E37" s="15" t="s">
        <v>148</v>
      </c>
      <c r="F37" s="14" t="s">
        <v>317</v>
      </c>
      <c r="G37" s="4"/>
    </row>
    <row r="38" customFormat="false" ht="15" hidden="false" customHeight="true" outlineLevel="0" collapsed="false">
      <c r="A38" s="10" t="n">
        <v>36</v>
      </c>
      <c r="B38" s="11" t="s">
        <v>350</v>
      </c>
      <c r="C38" s="30" t="n">
        <v>4.51</v>
      </c>
      <c r="D38" s="10" t="s">
        <v>334</v>
      </c>
      <c r="E38" s="15" t="s">
        <v>148</v>
      </c>
      <c r="F38" s="14" t="s">
        <v>317</v>
      </c>
      <c r="G38" s="4"/>
    </row>
    <row r="39" customFormat="false" ht="15" hidden="false" customHeight="true" outlineLevel="0" collapsed="false">
      <c r="A39" s="10" t="n">
        <v>37</v>
      </c>
      <c r="B39" s="11" t="s">
        <v>228</v>
      </c>
      <c r="C39" s="30" t="n">
        <v>4.6</v>
      </c>
      <c r="D39" s="10" t="s">
        <v>316</v>
      </c>
      <c r="E39" s="15" t="s">
        <v>148</v>
      </c>
      <c r="F39" s="14" t="s">
        <v>317</v>
      </c>
      <c r="G39" s="4" t="s">
        <v>351</v>
      </c>
    </row>
    <row r="40" customFormat="false" ht="15" hidden="false" customHeight="true" outlineLevel="0" collapsed="false">
      <c r="A40" s="10" t="n">
        <v>38</v>
      </c>
      <c r="B40" s="11" t="s">
        <v>352</v>
      </c>
      <c r="C40" s="30" t="n">
        <v>4.7</v>
      </c>
      <c r="D40" s="10" t="s">
        <v>334</v>
      </c>
      <c r="E40" s="15" t="s">
        <v>148</v>
      </c>
      <c r="F40" s="14" t="s">
        <v>317</v>
      </c>
      <c r="G40" s="4"/>
    </row>
    <row r="41" customFormat="false" ht="15" hidden="false" customHeight="true" outlineLevel="0" collapsed="false">
      <c r="A41" s="10" t="n">
        <v>39</v>
      </c>
      <c r="B41" s="11" t="s">
        <v>353</v>
      </c>
      <c r="C41" s="30" t="n">
        <v>4.73</v>
      </c>
      <c r="D41" s="10" t="s">
        <v>334</v>
      </c>
      <c r="E41" s="15" t="s">
        <v>148</v>
      </c>
      <c r="F41" s="14" t="s">
        <v>317</v>
      </c>
      <c r="G41" s="4"/>
    </row>
    <row r="42" customFormat="false" ht="15" hidden="false" customHeight="true" outlineLevel="0" collapsed="false">
      <c r="A42" s="10" t="n">
        <v>40</v>
      </c>
      <c r="B42" s="11" t="s">
        <v>354</v>
      </c>
      <c r="C42" s="30" t="n">
        <v>4.82</v>
      </c>
      <c r="D42" s="10" t="s">
        <v>334</v>
      </c>
      <c r="E42" s="15" t="s">
        <v>148</v>
      </c>
      <c r="F42" s="14" t="s">
        <v>317</v>
      </c>
      <c r="G42" s="4" t="s">
        <v>355</v>
      </c>
    </row>
    <row r="43" customFormat="false" ht="15" hidden="false" customHeight="true" outlineLevel="0" collapsed="false">
      <c r="A43" s="10" t="n">
        <v>41</v>
      </c>
      <c r="B43" s="11" t="s">
        <v>356</v>
      </c>
      <c r="C43" s="30" t="n">
        <v>4.82</v>
      </c>
      <c r="D43" s="10" t="s">
        <v>334</v>
      </c>
      <c r="E43" s="15" t="s">
        <v>148</v>
      </c>
      <c r="F43" s="14" t="s">
        <v>317</v>
      </c>
      <c r="G43" s="4"/>
    </row>
    <row r="44" customFormat="false" ht="15" hidden="false" customHeight="true" outlineLevel="0" collapsed="false">
      <c r="A44" s="10" t="n">
        <v>42</v>
      </c>
      <c r="B44" s="11" t="s">
        <v>357</v>
      </c>
      <c r="C44" s="30" t="n">
        <v>4.83</v>
      </c>
      <c r="D44" s="10" t="s">
        <v>334</v>
      </c>
      <c r="E44" s="15" t="s">
        <v>148</v>
      </c>
      <c r="F44" s="14" t="s">
        <v>317</v>
      </c>
      <c r="G44" s="4" t="s">
        <v>355</v>
      </c>
    </row>
    <row r="45" customFormat="false" ht="15" hidden="false" customHeight="true" outlineLevel="0" collapsed="false">
      <c r="A45" s="10" t="n">
        <v>43</v>
      </c>
      <c r="B45" s="11" t="s">
        <v>358</v>
      </c>
      <c r="C45" s="30" t="n">
        <v>4.83</v>
      </c>
      <c r="D45" s="10" t="s">
        <v>334</v>
      </c>
      <c r="E45" s="15" t="s">
        <v>148</v>
      </c>
      <c r="F45" s="14" t="s">
        <v>317</v>
      </c>
      <c r="G45" s="4"/>
    </row>
    <row r="46" customFormat="false" ht="15" hidden="false" customHeight="true" outlineLevel="0" collapsed="false">
      <c r="A46" s="10" t="n">
        <v>44</v>
      </c>
      <c r="B46" s="11" t="s">
        <v>359</v>
      </c>
      <c r="C46" s="30" t="n">
        <v>5.16</v>
      </c>
      <c r="D46" s="10" t="s">
        <v>334</v>
      </c>
      <c r="E46" s="15" t="s">
        <v>148</v>
      </c>
      <c r="F46" s="14" t="s">
        <v>317</v>
      </c>
      <c r="G46" s="4" t="s">
        <v>355</v>
      </c>
    </row>
    <row r="47" customFormat="false" ht="15" hidden="false" customHeight="true" outlineLevel="0" collapsed="false">
      <c r="A47" s="10" t="n">
        <v>45</v>
      </c>
      <c r="B47" s="11" t="s">
        <v>360</v>
      </c>
      <c r="C47" s="30" t="n">
        <v>5.17</v>
      </c>
      <c r="D47" s="10" t="s">
        <v>334</v>
      </c>
      <c r="E47" s="15" t="s">
        <v>148</v>
      </c>
      <c r="F47" s="14" t="s">
        <v>317</v>
      </c>
      <c r="G47" s="4" t="s">
        <v>355</v>
      </c>
    </row>
    <row r="48" customFormat="false" ht="15" hidden="false" customHeight="true" outlineLevel="0" collapsed="false">
      <c r="A48" s="10" t="n">
        <v>46</v>
      </c>
      <c r="B48" s="11" t="s">
        <v>361</v>
      </c>
      <c r="C48" s="30" t="n">
        <v>5.18</v>
      </c>
      <c r="D48" s="10" t="s">
        <v>334</v>
      </c>
      <c r="E48" s="15" t="s">
        <v>148</v>
      </c>
      <c r="F48" s="14" t="s">
        <v>317</v>
      </c>
      <c r="G48" s="4"/>
    </row>
    <row r="49" customFormat="false" ht="15" hidden="false" customHeight="true" outlineLevel="0" collapsed="false">
      <c r="A49" s="10" t="n">
        <v>47</v>
      </c>
      <c r="B49" s="11" t="s">
        <v>362</v>
      </c>
      <c r="C49" s="30" t="n">
        <v>5.18</v>
      </c>
      <c r="D49" s="10" t="s">
        <v>334</v>
      </c>
      <c r="E49" s="15" t="s">
        <v>148</v>
      </c>
      <c r="F49" s="14" t="s">
        <v>317</v>
      </c>
      <c r="G49" s="4"/>
    </row>
    <row r="50" customFormat="false" ht="15" hidden="false" customHeight="true" outlineLevel="0" collapsed="false">
      <c r="A50" s="10" t="n">
        <v>48</v>
      </c>
      <c r="B50" s="11" t="s">
        <v>363</v>
      </c>
      <c r="C50" s="30" t="n">
        <v>5.23</v>
      </c>
      <c r="D50" s="10" t="s">
        <v>334</v>
      </c>
      <c r="E50" s="15" t="s">
        <v>148</v>
      </c>
      <c r="F50" s="14" t="s">
        <v>317</v>
      </c>
      <c r="G50" s="4"/>
    </row>
    <row r="51" customFormat="false" ht="15" hidden="false" customHeight="true" outlineLevel="0" collapsed="false">
      <c r="A51" s="10" t="n">
        <v>49</v>
      </c>
      <c r="B51" s="11" t="s">
        <v>364</v>
      </c>
      <c r="C51" s="30" t="n">
        <v>5.35</v>
      </c>
      <c r="D51" s="10" t="s">
        <v>334</v>
      </c>
      <c r="E51" s="15" t="s">
        <v>148</v>
      </c>
      <c r="F51" s="14" t="s">
        <v>317</v>
      </c>
      <c r="G51" s="4"/>
    </row>
    <row r="52" customFormat="false" ht="15" hidden="false" customHeight="true" outlineLevel="0" collapsed="false">
      <c r="A52" s="10" t="n">
        <v>50</v>
      </c>
      <c r="B52" s="11" t="s">
        <v>365</v>
      </c>
      <c r="C52" s="30" t="n">
        <v>5.39</v>
      </c>
      <c r="D52" s="10" t="s">
        <v>334</v>
      </c>
      <c r="E52" s="15" t="s">
        <v>148</v>
      </c>
      <c r="F52" s="14" t="s">
        <v>317</v>
      </c>
      <c r="G52" s="4"/>
    </row>
    <row r="53" customFormat="false" ht="15" hidden="false" customHeight="true" outlineLevel="0" collapsed="false">
      <c r="A53" s="10" t="n">
        <v>51</v>
      </c>
      <c r="B53" s="11" t="s">
        <v>366</v>
      </c>
      <c r="C53" s="30" t="n">
        <v>5.52</v>
      </c>
      <c r="D53" s="10" t="s">
        <v>334</v>
      </c>
      <c r="E53" s="15" t="s">
        <v>148</v>
      </c>
      <c r="F53" s="14" t="s">
        <v>317</v>
      </c>
      <c r="G53" s="4"/>
    </row>
    <row r="54" customFormat="false" ht="15" hidden="false" customHeight="true" outlineLevel="0" collapsed="false">
      <c r="A54" s="10" t="n">
        <v>52</v>
      </c>
      <c r="B54" s="11" t="s">
        <v>367</v>
      </c>
      <c r="C54" s="30" t="n">
        <v>6.1</v>
      </c>
      <c r="D54" s="10" t="s">
        <v>334</v>
      </c>
      <c r="E54" s="15" t="s">
        <v>148</v>
      </c>
      <c r="F54" s="14" t="s">
        <v>317</v>
      </c>
      <c r="G54" s="4"/>
    </row>
    <row r="55" customFormat="false" ht="15" hidden="false" customHeight="true" outlineLevel="0" collapsed="false">
      <c r="A55" s="10" t="n">
        <v>53</v>
      </c>
      <c r="B55" s="20" t="s">
        <v>368</v>
      </c>
      <c r="C55" s="32" t="n">
        <v>7.25</v>
      </c>
      <c r="D55" s="10" t="s">
        <v>316</v>
      </c>
      <c r="E55" s="12" t="s">
        <v>144</v>
      </c>
      <c r="F55" s="14" t="s">
        <v>317</v>
      </c>
      <c r="G55" s="4" t="s">
        <v>369</v>
      </c>
    </row>
    <row r="56" customFormat="false" ht="15" hidden="false" customHeight="true" outlineLevel="0" collapsed="false">
      <c r="A56" s="10" t="n">
        <v>54</v>
      </c>
      <c r="B56" s="20" t="s">
        <v>370</v>
      </c>
      <c r="C56" s="32" t="n">
        <v>7.28</v>
      </c>
      <c r="D56" s="10" t="s">
        <v>316</v>
      </c>
      <c r="E56" s="12" t="s">
        <v>144</v>
      </c>
      <c r="F56" s="14" t="s">
        <v>317</v>
      </c>
      <c r="G56" s="4" t="s">
        <v>369</v>
      </c>
    </row>
    <row r="57" customFormat="false" ht="15" hidden="false" customHeight="true" outlineLevel="0" collapsed="false">
      <c r="A57" s="10" t="n">
        <v>55</v>
      </c>
      <c r="B57" s="20" t="s">
        <v>371</v>
      </c>
      <c r="C57" s="32" t="n">
        <v>7.39</v>
      </c>
      <c r="D57" s="10" t="s">
        <v>316</v>
      </c>
      <c r="E57" s="12" t="s">
        <v>144</v>
      </c>
      <c r="F57" s="14" t="s">
        <v>317</v>
      </c>
      <c r="G57" s="4" t="s">
        <v>372</v>
      </c>
    </row>
    <row r="58" customFormat="false" ht="15" hidden="false" customHeight="true" outlineLevel="0" collapsed="false">
      <c r="A58" s="10" t="n">
        <v>56</v>
      </c>
      <c r="B58" s="20" t="s">
        <v>373</v>
      </c>
      <c r="C58" s="32" t="n">
        <v>7.42</v>
      </c>
      <c r="D58" s="10" t="s">
        <v>316</v>
      </c>
      <c r="E58" s="12" t="s">
        <v>144</v>
      </c>
      <c r="F58" s="14" t="s">
        <v>317</v>
      </c>
      <c r="G58" s="4" t="s">
        <v>372</v>
      </c>
    </row>
    <row r="59" customFormat="false" ht="15" hidden="false" customHeight="true" outlineLevel="0" collapsed="false">
      <c r="A59" s="10" t="n">
        <v>57</v>
      </c>
      <c r="B59" s="20" t="s">
        <v>374</v>
      </c>
      <c r="C59" s="32" t="n">
        <v>9.52</v>
      </c>
      <c r="D59" s="10" t="s">
        <v>316</v>
      </c>
      <c r="E59" s="12" t="s">
        <v>144</v>
      </c>
      <c r="F59" s="14" t="s">
        <v>317</v>
      </c>
      <c r="G59" s="4" t="s">
        <v>375</v>
      </c>
    </row>
    <row r="60" customFormat="false" ht="15" hidden="false" customHeight="true" outlineLevel="0" collapsed="false">
      <c r="A60" s="10" t="n">
        <v>58</v>
      </c>
      <c r="B60" s="20" t="s">
        <v>376</v>
      </c>
      <c r="C60" s="32" t="n">
        <v>10.04</v>
      </c>
      <c r="D60" s="10" t="s">
        <v>316</v>
      </c>
      <c r="E60" s="12" t="s">
        <v>144</v>
      </c>
      <c r="F60" s="14" t="s">
        <v>317</v>
      </c>
      <c r="G60" s="4" t="s">
        <v>375</v>
      </c>
    </row>
    <row r="61" customFormat="false" ht="15" hidden="false" customHeight="true" outlineLevel="0" collapsed="false">
      <c r="A61" s="10" t="n">
        <v>59</v>
      </c>
      <c r="B61" s="20" t="s">
        <v>377</v>
      </c>
      <c r="C61" s="32" t="n">
        <v>10.3</v>
      </c>
      <c r="D61" s="10" t="s">
        <v>334</v>
      </c>
      <c r="E61" s="12" t="s">
        <v>144</v>
      </c>
      <c r="F61" s="14" t="s">
        <v>317</v>
      </c>
      <c r="G61" s="4" t="s">
        <v>378</v>
      </c>
    </row>
    <row r="62" customFormat="false" ht="15" hidden="false" customHeight="true" outlineLevel="0" collapsed="false">
      <c r="A62" s="10" t="n">
        <v>60</v>
      </c>
      <c r="B62" s="20" t="s">
        <v>379</v>
      </c>
      <c r="C62" s="32" t="n">
        <v>11.89</v>
      </c>
      <c r="D62" s="10" t="s">
        <v>334</v>
      </c>
      <c r="E62" s="12" t="s">
        <v>144</v>
      </c>
      <c r="F62" s="14" t="s">
        <v>317</v>
      </c>
      <c r="G62" s="4" t="s">
        <v>378</v>
      </c>
    </row>
    <row r="63" customFormat="false" ht="15" hidden="false" customHeight="true" outlineLevel="0" collapsed="false">
      <c r="A63" s="10" t="n">
        <v>61</v>
      </c>
      <c r="B63" s="20" t="s">
        <v>380</v>
      </c>
      <c r="C63" s="32" t="n">
        <v>12.73</v>
      </c>
      <c r="D63" s="10" t="s">
        <v>334</v>
      </c>
      <c r="E63" s="12" t="s">
        <v>144</v>
      </c>
      <c r="F63" s="14" t="s">
        <v>317</v>
      </c>
      <c r="G63" s="4" t="s">
        <v>378</v>
      </c>
    </row>
    <row r="64" customFormat="false" ht="15" hidden="false" customHeight="true" outlineLevel="0" collapsed="false">
      <c r="A64" s="10" t="n">
        <v>62</v>
      </c>
      <c r="B64" s="20" t="s">
        <v>381</v>
      </c>
      <c r="C64" s="32" t="n">
        <v>13.08</v>
      </c>
      <c r="D64" s="10" t="s">
        <v>334</v>
      </c>
      <c r="E64" s="12" t="s">
        <v>144</v>
      </c>
      <c r="F64" s="14" t="s">
        <v>317</v>
      </c>
      <c r="G64" s="4" t="s">
        <v>378</v>
      </c>
    </row>
    <row r="65" customFormat="false" ht="15" hidden="false" customHeight="true" outlineLevel="0" collapsed="false">
      <c r="A65" s="10" t="n">
        <v>63</v>
      </c>
      <c r="B65" s="20" t="s">
        <v>382</v>
      </c>
      <c r="C65" s="32" t="n">
        <v>14.36</v>
      </c>
      <c r="D65" s="10" t="s">
        <v>334</v>
      </c>
      <c r="E65" s="12" t="s">
        <v>144</v>
      </c>
      <c r="F65" s="14" t="s">
        <v>317</v>
      </c>
      <c r="G65" s="4" t="s">
        <v>378</v>
      </c>
    </row>
    <row r="66" customFormat="false" ht="15" hidden="false" customHeight="true" outlineLevel="0" collapsed="false">
      <c r="A66" s="10" t="n">
        <v>64</v>
      </c>
      <c r="B66" s="20" t="s">
        <v>383</v>
      </c>
      <c r="C66" s="32" t="n">
        <v>15.1</v>
      </c>
      <c r="D66" s="10" t="s">
        <v>334</v>
      </c>
      <c r="E66" s="12" t="s">
        <v>144</v>
      </c>
      <c r="F66" s="14" t="s">
        <v>317</v>
      </c>
      <c r="G66" s="4" t="s">
        <v>384</v>
      </c>
    </row>
    <row r="67" customFormat="false" ht="15" hidden="false" customHeight="true" outlineLevel="0" collapsed="false">
      <c r="A67" s="10" t="n">
        <v>65</v>
      </c>
      <c r="B67" s="20" t="s">
        <v>385</v>
      </c>
      <c r="C67" s="32" t="n">
        <v>15.1</v>
      </c>
      <c r="D67" s="10" t="s">
        <v>334</v>
      </c>
      <c r="E67" s="12" t="s">
        <v>144</v>
      </c>
      <c r="F67" s="14" t="s">
        <v>317</v>
      </c>
      <c r="G67" s="4" t="s">
        <v>384</v>
      </c>
    </row>
    <row r="68" customFormat="false" ht="15" hidden="false" customHeight="true" outlineLevel="0" collapsed="false">
      <c r="A68" s="10" t="n">
        <v>66</v>
      </c>
      <c r="B68" s="20" t="s">
        <v>386</v>
      </c>
      <c r="C68" s="32" t="n">
        <v>15.1</v>
      </c>
      <c r="D68" s="10" t="s">
        <v>334</v>
      </c>
      <c r="E68" s="12" t="s">
        <v>144</v>
      </c>
      <c r="F68" s="14" t="s">
        <v>317</v>
      </c>
      <c r="G68" s="4" t="s">
        <v>384</v>
      </c>
    </row>
    <row r="69" customFormat="false" ht="15" hidden="false" customHeight="true" outlineLevel="0" collapsed="false">
      <c r="A69" s="10" t="n">
        <v>67</v>
      </c>
      <c r="B69" s="20" t="s">
        <v>387</v>
      </c>
      <c r="C69" s="32" t="n">
        <v>15.56</v>
      </c>
      <c r="D69" s="10" t="s">
        <v>316</v>
      </c>
      <c r="E69" s="12" t="s">
        <v>144</v>
      </c>
      <c r="F69" s="14" t="s">
        <v>317</v>
      </c>
      <c r="G69" s="4" t="s">
        <v>388</v>
      </c>
    </row>
    <row r="70" customFormat="false" ht="15" hidden="false" customHeight="true" outlineLevel="0" collapsed="false">
      <c r="A70" s="10" t="n">
        <v>68</v>
      </c>
      <c r="B70" s="20" t="s">
        <v>389</v>
      </c>
      <c r="C70" s="32" t="n">
        <v>15.6</v>
      </c>
      <c r="D70" s="10" t="s">
        <v>334</v>
      </c>
      <c r="E70" s="12" t="s">
        <v>144</v>
      </c>
      <c r="F70" s="14" t="s">
        <v>317</v>
      </c>
      <c r="G70" s="4" t="s">
        <v>384</v>
      </c>
    </row>
    <row r="71" customFormat="false" ht="15" hidden="false" customHeight="true" outlineLevel="0" collapsed="false">
      <c r="A71" s="10" t="n">
        <v>69</v>
      </c>
      <c r="B71" s="20" t="s">
        <v>390</v>
      </c>
      <c r="C71" s="32" t="n">
        <v>15.69</v>
      </c>
      <c r="D71" s="10" t="s">
        <v>316</v>
      </c>
      <c r="E71" s="12" t="s">
        <v>144</v>
      </c>
      <c r="F71" s="14" t="s">
        <v>317</v>
      </c>
      <c r="G71" s="4" t="s">
        <v>388</v>
      </c>
    </row>
    <row r="72" customFormat="false" ht="15" hidden="false" customHeight="true" outlineLevel="0" collapsed="false">
      <c r="A72" s="10" t="n">
        <v>70</v>
      </c>
      <c r="B72" s="20" t="s">
        <v>391</v>
      </c>
      <c r="C72" s="32" t="n">
        <v>17.45</v>
      </c>
      <c r="D72" s="10" t="s">
        <v>334</v>
      </c>
      <c r="E72" s="12" t="s">
        <v>144</v>
      </c>
      <c r="F72" s="14" t="s">
        <v>317</v>
      </c>
      <c r="G72" s="4" t="s">
        <v>384</v>
      </c>
    </row>
    <row r="73" customFormat="false" ht="15" hidden="false" customHeight="true" outlineLevel="0" collapsed="false">
      <c r="A73" s="10" t="n">
        <v>71</v>
      </c>
      <c r="B73" s="20" t="s">
        <v>392</v>
      </c>
      <c r="C73" s="32" t="n">
        <v>25.11</v>
      </c>
      <c r="D73" s="10" t="s">
        <v>316</v>
      </c>
      <c r="E73" s="12" t="s">
        <v>144</v>
      </c>
      <c r="F73" s="14" t="s">
        <v>317</v>
      </c>
      <c r="G73" s="4" t="s">
        <v>393</v>
      </c>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8"/>
    <col collapsed="false" customWidth="true" hidden="false" outlineLevel="0" max="3" min="3" style="1" width="12"/>
    <col collapsed="false" customWidth="true" hidden="false" outlineLevel="0" max="4" min="4" style="1" width="16"/>
    <col collapsed="false" customWidth="true" hidden="false" outlineLevel="0" max="5" min="5" style="1" width="20"/>
    <col collapsed="false" customWidth="true" hidden="false" outlineLevel="0" max="9" min="6" style="1" width="18"/>
    <col collapsed="false" customWidth="true" hidden="false" outlineLevel="0" max="10" min="10" style="1" width="22"/>
    <col collapsed="false" customWidth="true" hidden="false" outlineLevel="0" max="11" min="11" style="1" width="18"/>
    <col collapsed="false" customWidth="true" hidden="false" outlineLevel="0" max="12" min="12" style="1" width="28"/>
  </cols>
  <sheetData>
    <row r="1" customFormat="false" ht="27.75" hidden="false" customHeight="true" outlineLevel="0" collapsed="false">
      <c r="A1" s="8" t="s">
        <v>394</v>
      </c>
      <c r="B1" s="8"/>
      <c r="C1" s="8"/>
      <c r="D1" s="8"/>
      <c r="E1" s="8"/>
      <c r="F1" s="8"/>
      <c r="G1" s="8"/>
      <c r="H1" s="8"/>
      <c r="I1" s="8"/>
      <c r="J1" s="8"/>
      <c r="K1" s="8"/>
      <c r="L1" s="8"/>
    </row>
    <row r="2" customFormat="false" ht="42" hidden="false" customHeight="true" outlineLevel="0" collapsed="false">
      <c r="A2" s="3" t="s">
        <v>132</v>
      </c>
      <c r="B2" s="3" t="s">
        <v>395</v>
      </c>
      <c r="C2" s="3" t="s">
        <v>135</v>
      </c>
      <c r="D2" s="3" t="s">
        <v>136</v>
      </c>
      <c r="E2" s="3" t="s">
        <v>396</v>
      </c>
      <c r="F2" s="3" t="s">
        <v>397</v>
      </c>
      <c r="G2" s="3" t="s">
        <v>312</v>
      </c>
      <c r="H2" s="3" t="s">
        <v>398</v>
      </c>
      <c r="I2" s="3" t="s">
        <v>399</v>
      </c>
      <c r="J2" s="3" t="s">
        <v>400</v>
      </c>
      <c r="K2" s="3" t="s">
        <v>401</v>
      </c>
      <c r="L2" s="3" t="s">
        <v>402</v>
      </c>
    </row>
    <row r="3" customFormat="false" ht="15" hidden="false" customHeight="true" outlineLevel="0" collapsed="false">
      <c r="A3" s="10" t="n">
        <v>1</v>
      </c>
      <c r="B3" s="20" t="s">
        <v>403</v>
      </c>
      <c r="C3" s="12" t="s">
        <v>144</v>
      </c>
      <c r="D3" s="10" t="s">
        <v>404</v>
      </c>
      <c r="E3" s="33" t="n">
        <v>156</v>
      </c>
      <c r="F3" s="33" t="n">
        <v>156</v>
      </c>
      <c r="G3" s="34" t="n">
        <v>0</v>
      </c>
      <c r="H3" s="34" t="n">
        <v>0.46</v>
      </c>
      <c r="I3" s="34" t="n">
        <v>0.46</v>
      </c>
      <c r="J3" s="33" t="n">
        <v>76720</v>
      </c>
      <c r="K3" s="33" t="n">
        <v>76720</v>
      </c>
      <c r="L3" s="4" t="s">
        <v>405</v>
      </c>
    </row>
    <row r="4" customFormat="false" ht="15" hidden="false" customHeight="true" outlineLevel="0" collapsed="false">
      <c r="A4" s="10" t="n">
        <v>2</v>
      </c>
      <c r="B4" s="20" t="s">
        <v>406</v>
      </c>
      <c r="C4" s="12" t="s">
        <v>144</v>
      </c>
      <c r="D4" s="10" t="s">
        <v>404</v>
      </c>
      <c r="E4" s="33" t="n">
        <v>375</v>
      </c>
      <c r="F4" s="33" t="n">
        <v>375</v>
      </c>
      <c r="G4" s="34" t="n">
        <v>0</v>
      </c>
      <c r="H4" s="34" t="n">
        <v>0</v>
      </c>
      <c r="I4" s="34" t="n">
        <v>0</v>
      </c>
      <c r="J4" s="33" t="n">
        <v>1752</v>
      </c>
      <c r="K4" s="33" t="n">
        <v>1752</v>
      </c>
      <c r="L4" s="4" t="s">
        <v>405</v>
      </c>
    </row>
    <row r="5" customFormat="false" ht="15" hidden="false" customHeight="true" outlineLevel="0" collapsed="false">
      <c r="A5" s="10" t="n">
        <v>3</v>
      </c>
      <c r="B5" s="27" t="s">
        <v>407</v>
      </c>
      <c r="C5" s="16" t="s">
        <v>161</v>
      </c>
      <c r="D5" s="10" t="s">
        <v>404</v>
      </c>
      <c r="E5" s="33" t="n">
        <v>240</v>
      </c>
      <c r="F5" s="33" t="n">
        <v>240</v>
      </c>
      <c r="G5" s="34" t="n">
        <v>0</v>
      </c>
      <c r="H5" s="34" t="n">
        <v>1.07</v>
      </c>
      <c r="I5" s="34" t="n">
        <v>1.07</v>
      </c>
      <c r="J5" s="33" t="n">
        <v>523</v>
      </c>
      <c r="K5" s="33" t="n">
        <v>522</v>
      </c>
      <c r="L5" s="4" t="s">
        <v>405</v>
      </c>
    </row>
    <row r="6" customFormat="false" ht="15" hidden="false" customHeight="true" outlineLevel="0" collapsed="false">
      <c r="A6" s="10" t="n">
        <v>4</v>
      </c>
      <c r="B6" s="20" t="s">
        <v>408</v>
      </c>
      <c r="C6" s="12" t="s">
        <v>144</v>
      </c>
      <c r="D6" s="10" t="s">
        <v>404</v>
      </c>
      <c r="E6" s="33" t="n">
        <v>112</v>
      </c>
      <c r="F6" s="33" t="n">
        <v>112</v>
      </c>
      <c r="G6" s="34" t="n">
        <v>0</v>
      </c>
      <c r="H6" s="34" t="n">
        <v>0.72</v>
      </c>
      <c r="I6" s="34" t="n">
        <v>0.72</v>
      </c>
      <c r="J6" s="33" t="n">
        <v>121168</v>
      </c>
      <c r="K6" s="33" t="n">
        <v>121168</v>
      </c>
      <c r="L6" s="4" t="s">
        <v>405</v>
      </c>
    </row>
    <row r="7" customFormat="false" ht="15" hidden="false" customHeight="true" outlineLevel="0" collapsed="false">
      <c r="A7" s="10" t="n">
        <v>5</v>
      </c>
      <c r="B7" s="17" t="s">
        <v>409</v>
      </c>
      <c r="C7" s="19" t="s">
        <v>193</v>
      </c>
      <c r="D7" s="10" t="s">
        <v>410</v>
      </c>
      <c r="E7" s="33" t="n">
        <v>160</v>
      </c>
      <c r="F7" s="33" t="n">
        <v>320</v>
      </c>
      <c r="G7" s="34" t="n">
        <v>2.42</v>
      </c>
      <c r="H7" s="34" t="n">
        <v>0</v>
      </c>
      <c r="I7" s="34" t="n">
        <v>2.42</v>
      </c>
      <c r="J7" s="33" t="n">
        <v>1752</v>
      </c>
      <c r="K7" s="33" t="n">
        <v>1752</v>
      </c>
      <c r="L7" s="4" t="s">
        <v>405</v>
      </c>
    </row>
    <row r="8" customFormat="false" ht="15" hidden="false" customHeight="true" outlineLevel="0" collapsed="false">
      <c r="A8" s="10" t="n">
        <v>6</v>
      </c>
      <c r="B8" s="11" t="s">
        <v>411</v>
      </c>
      <c r="C8" s="15" t="s">
        <v>148</v>
      </c>
      <c r="D8" s="10" t="s">
        <v>412</v>
      </c>
      <c r="E8" s="33" t="n">
        <v>200</v>
      </c>
      <c r="F8" s="33" t="n">
        <v>270</v>
      </c>
      <c r="G8" s="34" t="n">
        <v>1.09</v>
      </c>
      <c r="H8" s="34" t="n">
        <v>1.46</v>
      </c>
      <c r="I8" s="34" t="n">
        <v>2.55</v>
      </c>
      <c r="J8" s="33" t="n">
        <v>2658</v>
      </c>
      <c r="K8" s="33" t="n">
        <v>2568</v>
      </c>
      <c r="L8" s="4"/>
    </row>
    <row r="9" customFormat="false" ht="15" hidden="false" customHeight="true" outlineLevel="0" collapsed="false">
      <c r="A9" s="10" t="n">
        <v>7</v>
      </c>
      <c r="B9" s="11" t="s">
        <v>413</v>
      </c>
      <c r="C9" s="15" t="s">
        <v>148</v>
      </c>
      <c r="D9" s="10" t="s">
        <v>404</v>
      </c>
      <c r="E9" s="33" t="n">
        <v>14</v>
      </c>
      <c r="F9" s="33" t="n">
        <v>800</v>
      </c>
      <c r="G9" s="34" t="n">
        <v>1.14</v>
      </c>
      <c r="H9" s="34" t="n">
        <v>2.12</v>
      </c>
      <c r="I9" s="34" t="n">
        <v>3.26</v>
      </c>
      <c r="J9" s="33" t="n">
        <v>0</v>
      </c>
      <c r="K9" s="33" t="n">
        <v>0</v>
      </c>
      <c r="L9" s="4"/>
    </row>
    <row r="10" customFormat="false" ht="15" hidden="false" customHeight="true" outlineLevel="0" collapsed="false">
      <c r="A10" s="10" t="n">
        <v>8</v>
      </c>
      <c r="B10" s="11" t="s">
        <v>414</v>
      </c>
      <c r="C10" s="15" t="s">
        <v>148</v>
      </c>
      <c r="D10" s="10" t="s">
        <v>404</v>
      </c>
      <c r="E10" s="33" t="n">
        <v>157</v>
      </c>
      <c r="F10" s="33" t="n">
        <v>1600</v>
      </c>
      <c r="G10" s="34" t="n">
        <v>1.16</v>
      </c>
      <c r="H10" s="34" t="n">
        <v>1.8</v>
      </c>
      <c r="I10" s="34" t="n">
        <v>2.96</v>
      </c>
      <c r="J10" s="33" t="n">
        <v>2063</v>
      </c>
      <c r="K10" s="33" t="n">
        <v>1557</v>
      </c>
      <c r="L10" s="4"/>
    </row>
    <row r="11" customFormat="false" ht="15" hidden="false" customHeight="true" outlineLevel="0" collapsed="false">
      <c r="A11" s="10" t="n">
        <v>9</v>
      </c>
      <c r="B11" s="11" t="s">
        <v>322</v>
      </c>
      <c r="C11" s="15" t="s">
        <v>148</v>
      </c>
      <c r="D11" s="10" t="s">
        <v>410</v>
      </c>
      <c r="E11" s="33" t="n">
        <v>509</v>
      </c>
      <c r="F11" s="33" t="n">
        <v>1980</v>
      </c>
      <c r="G11" s="34" t="n">
        <v>1.56</v>
      </c>
      <c r="H11" s="34" t="n">
        <v>1.3</v>
      </c>
      <c r="I11" s="34" t="n">
        <v>2.86</v>
      </c>
      <c r="J11" s="33" t="n">
        <v>12880</v>
      </c>
      <c r="K11" s="33" t="n">
        <v>9504</v>
      </c>
      <c r="L11" s="4"/>
    </row>
    <row r="12" customFormat="false" ht="15" hidden="false" customHeight="true" outlineLevel="0" collapsed="false">
      <c r="A12" s="10" t="n">
        <v>10</v>
      </c>
      <c r="B12" s="11" t="s">
        <v>415</v>
      </c>
      <c r="C12" s="15" t="s">
        <v>148</v>
      </c>
      <c r="D12" s="10" t="s">
        <v>410</v>
      </c>
      <c r="E12" s="33" t="n">
        <v>257</v>
      </c>
      <c r="F12" s="33" t="n">
        <v>1000</v>
      </c>
      <c r="G12" s="34" t="n">
        <v>1.63</v>
      </c>
      <c r="H12" s="34" t="n">
        <v>1.24</v>
      </c>
      <c r="I12" s="34" t="n">
        <v>2.87</v>
      </c>
      <c r="J12" s="33" t="n">
        <v>6512</v>
      </c>
      <c r="K12" s="33" t="n">
        <v>4806</v>
      </c>
      <c r="L12" s="4"/>
    </row>
    <row r="13" customFormat="false" ht="15" hidden="false" customHeight="true" outlineLevel="0" collapsed="false">
      <c r="A13" s="10" t="n">
        <v>11</v>
      </c>
      <c r="B13" s="11" t="s">
        <v>416</v>
      </c>
      <c r="C13" s="15" t="s">
        <v>148</v>
      </c>
      <c r="D13" s="10" t="s">
        <v>410</v>
      </c>
      <c r="E13" s="33" t="n">
        <v>90</v>
      </c>
      <c r="F13" s="33" t="n">
        <v>500</v>
      </c>
      <c r="G13" s="34" t="n">
        <v>1.67</v>
      </c>
      <c r="H13" s="34" t="n">
        <v>0.69</v>
      </c>
      <c r="I13" s="34" t="n">
        <v>2.36</v>
      </c>
      <c r="J13" s="33" t="n">
        <v>2374</v>
      </c>
      <c r="K13" s="33" t="n">
        <v>1685</v>
      </c>
      <c r="L13" s="4"/>
    </row>
    <row r="14" customFormat="false" ht="15" hidden="false" customHeight="true" outlineLevel="0" collapsed="false">
      <c r="A14" s="10" t="n">
        <v>12</v>
      </c>
      <c r="B14" s="11" t="s">
        <v>417</v>
      </c>
      <c r="C14" s="15" t="s">
        <v>148</v>
      </c>
      <c r="D14" s="10" t="s">
        <v>410</v>
      </c>
      <c r="E14" s="33" t="n">
        <v>336</v>
      </c>
      <c r="F14" s="33" t="n">
        <v>2100</v>
      </c>
      <c r="G14" s="34" t="n">
        <v>1.7</v>
      </c>
      <c r="H14" s="34" t="n">
        <v>0.69</v>
      </c>
      <c r="I14" s="34" t="n">
        <v>2.39</v>
      </c>
      <c r="J14" s="33" t="n">
        <v>6546</v>
      </c>
      <c r="K14" s="33" t="n">
        <v>4639</v>
      </c>
      <c r="L14" s="4"/>
    </row>
    <row r="15" customFormat="false" ht="15" hidden="false" customHeight="true" outlineLevel="0" collapsed="false">
      <c r="A15" s="10" t="n">
        <v>13</v>
      </c>
      <c r="B15" s="11" t="s">
        <v>418</v>
      </c>
      <c r="C15" s="15" t="s">
        <v>148</v>
      </c>
      <c r="D15" s="10" t="s">
        <v>410</v>
      </c>
      <c r="E15" s="33" t="n">
        <v>24</v>
      </c>
      <c r="F15" s="33" t="n">
        <v>1000</v>
      </c>
      <c r="G15" s="34" t="n">
        <v>1.71</v>
      </c>
      <c r="H15" s="34" t="n">
        <v>0.96</v>
      </c>
      <c r="I15" s="34" t="n">
        <v>2.67</v>
      </c>
      <c r="J15" s="33" t="n">
        <v>0</v>
      </c>
      <c r="K15" s="33" t="n">
        <v>0</v>
      </c>
      <c r="L15" s="4"/>
    </row>
    <row r="16" customFormat="false" ht="15" hidden="false" customHeight="true" outlineLevel="0" collapsed="false">
      <c r="A16" s="10" t="n">
        <v>14</v>
      </c>
      <c r="B16" s="27" t="s">
        <v>419</v>
      </c>
      <c r="C16" s="16" t="s">
        <v>161</v>
      </c>
      <c r="D16" s="10" t="s">
        <v>412</v>
      </c>
      <c r="E16" s="33" t="n">
        <v>232</v>
      </c>
      <c r="F16" s="33" t="n">
        <v>1450</v>
      </c>
      <c r="G16" s="34" t="n">
        <v>2.05</v>
      </c>
      <c r="H16" s="34" t="n">
        <v>0</v>
      </c>
      <c r="I16" s="34" t="n">
        <v>2.05</v>
      </c>
      <c r="J16" s="33" t="n">
        <v>1191</v>
      </c>
      <c r="K16" s="33" t="n">
        <v>192</v>
      </c>
      <c r="L16" s="4"/>
    </row>
    <row r="17" customFormat="false" ht="15" hidden="false" customHeight="true" outlineLevel="0" collapsed="false">
      <c r="A17" s="10" t="n">
        <v>15</v>
      </c>
      <c r="B17" s="11" t="s">
        <v>420</v>
      </c>
      <c r="C17" s="15" t="s">
        <v>148</v>
      </c>
      <c r="D17" s="10" t="s">
        <v>410</v>
      </c>
      <c r="E17" s="33" t="n">
        <v>251</v>
      </c>
      <c r="F17" s="33" t="n">
        <v>1000</v>
      </c>
      <c r="G17" s="34" t="n">
        <v>2.17</v>
      </c>
      <c r="H17" s="34" t="n">
        <v>1.05</v>
      </c>
      <c r="I17" s="34" t="n">
        <v>3.22</v>
      </c>
      <c r="J17" s="33" t="n">
        <v>6286</v>
      </c>
      <c r="K17" s="33" t="n">
        <v>3989</v>
      </c>
      <c r="L17" s="4"/>
    </row>
    <row r="18" customFormat="false" ht="15" hidden="false" customHeight="true" outlineLevel="0" collapsed="false">
      <c r="A18" s="10" t="n">
        <v>16</v>
      </c>
      <c r="B18" s="11" t="s">
        <v>421</v>
      </c>
      <c r="C18" s="15" t="s">
        <v>148</v>
      </c>
      <c r="D18" s="10" t="s">
        <v>410</v>
      </c>
      <c r="E18" s="33" t="n">
        <v>226</v>
      </c>
      <c r="F18" s="33" t="n">
        <v>1000</v>
      </c>
      <c r="G18" s="34" t="n">
        <v>2.18</v>
      </c>
      <c r="H18" s="34" t="n">
        <v>1.57</v>
      </c>
      <c r="I18" s="34" t="n">
        <v>3.75</v>
      </c>
      <c r="J18" s="33" t="n">
        <v>5771</v>
      </c>
      <c r="K18" s="33" t="n">
        <v>3660</v>
      </c>
      <c r="L18" s="4"/>
    </row>
    <row r="19" customFormat="false" ht="15" hidden="false" customHeight="true" outlineLevel="0" collapsed="false">
      <c r="A19" s="10" t="n">
        <v>17</v>
      </c>
      <c r="B19" s="11" t="s">
        <v>422</v>
      </c>
      <c r="C19" s="15" t="s">
        <v>148</v>
      </c>
      <c r="D19" s="10" t="s">
        <v>410</v>
      </c>
      <c r="E19" s="33" t="n">
        <v>225</v>
      </c>
      <c r="F19" s="33" t="n">
        <v>1000</v>
      </c>
      <c r="G19" s="34" t="n">
        <v>2.19</v>
      </c>
      <c r="H19" s="34" t="n">
        <v>0.7</v>
      </c>
      <c r="I19" s="34" t="n">
        <v>2.89</v>
      </c>
      <c r="J19" s="33" t="n">
        <v>5633</v>
      </c>
      <c r="K19" s="33" t="n">
        <v>3559</v>
      </c>
      <c r="L19" s="4"/>
    </row>
    <row r="20" customFormat="false" ht="15" hidden="false" customHeight="true" outlineLevel="0" collapsed="false">
      <c r="A20" s="10" t="n">
        <v>18</v>
      </c>
      <c r="B20" s="11" t="s">
        <v>423</v>
      </c>
      <c r="C20" s="15" t="s">
        <v>148</v>
      </c>
      <c r="D20" s="10" t="s">
        <v>410</v>
      </c>
      <c r="E20" s="33" t="n">
        <v>88</v>
      </c>
      <c r="F20" s="33" t="n">
        <v>500</v>
      </c>
      <c r="G20" s="34" t="n">
        <v>2.23</v>
      </c>
      <c r="H20" s="34" t="n">
        <v>1.67</v>
      </c>
      <c r="I20" s="34" t="n">
        <v>3.9</v>
      </c>
      <c r="J20" s="33" t="n">
        <v>2287</v>
      </c>
      <c r="K20" s="33" t="n">
        <v>1446</v>
      </c>
      <c r="L20" s="4"/>
    </row>
    <row r="21" customFormat="false" ht="15" hidden="false" customHeight="true" outlineLevel="0" collapsed="false">
      <c r="A21" s="10" t="n">
        <v>19</v>
      </c>
      <c r="B21" s="11" t="s">
        <v>424</v>
      </c>
      <c r="C21" s="15" t="s">
        <v>148</v>
      </c>
      <c r="D21" s="10" t="s">
        <v>410</v>
      </c>
      <c r="E21" s="33" t="n">
        <v>209</v>
      </c>
      <c r="F21" s="33" t="n">
        <v>1260</v>
      </c>
      <c r="G21" s="34" t="n">
        <v>2.28</v>
      </c>
      <c r="H21" s="34" t="n">
        <v>0.86</v>
      </c>
      <c r="I21" s="34" t="n">
        <v>3.14</v>
      </c>
      <c r="J21" s="33" t="n">
        <v>4518</v>
      </c>
      <c r="K21" s="33" t="n">
        <v>2856</v>
      </c>
      <c r="L21" s="4"/>
    </row>
    <row r="22" customFormat="false" ht="15" hidden="false" customHeight="true" outlineLevel="0" collapsed="false">
      <c r="A22" s="10" t="n">
        <v>20</v>
      </c>
      <c r="B22" s="17" t="s">
        <v>425</v>
      </c>
      <c r="C22" s="19" t="s">
        <v>193</v>
      </c>
      <c r="D22" s="10" t="s">
        <v>410</v>
      </c>
      <c r="E22" s="33" t="n">
        <v>115</v>
      </c>
      <c r="F22" s="33" t="n">
        <v>440</v>
      </c>
      <c r="G22" s="34" t="n">
        <v>2.29</v>
      </c>
      <c r="H22" s="34" t="n">
        <v>0</v>
      </c>
      <c r="I22" s="34" t="n">
        <v>2.29</v>
      </c>
      <c r="J22" s="33" t="n">
        <v>2714</v>
      </c>
      <c r="K22" s="33" t="n">
        <v>2713</v>
      </c>
      <c r="L22" s="4"/>
    </row>
    <row r="23" customFormat="false" ht="15" hidden="false" customHeight="true" outlineLevel="0" collapsed="false">
      <c r="A23" s="10" t="n">
        <v>21</v>
      </c>
      <c r="B23" s="25" t="s">
        <v>426</v>
      </c>
      <c r="C23" s="26" t="s">
        <v>170</v>
      </c>
      <c r="D23" s="10" t="s">
        <v>404</v>
      </c>
      <c r="E23" s="33" t="n">
        <v>250</v>
      </c>
      <c r="F23" s="33" t="n">
        <v>250</v>
      </c>
      <c r="G23" s="34" t="n">
        <v>2.71</v>
      </c>
      <c r="H23" s="34" t="n">
        <v>0.79</v>
      </c>
      <c r="I23" s="34" t="n">
        <v>3.5</v>
      </c>
      <c r="J23" s="33" t="n">
        <v>2760</v>
      </c>
      <c r="K23" s="33" t="n">
        <v>2658</v>
      </c>
      <c r="L23" s="4"/>
    </row>
    <row r="24" customFormat="false" ht="15" hidden="false" customHeight="true" outlineLevel="0" collapsed="false">
      <c r="A24" s="10" t="n">
        <v>22</v>
      </c>
      <c r="B24" s="11" t="s">
        <v>337</v>
      </c>
      <c r="C24" s="15" t="s">
        <v>148</v>
      </c>
      <c r="D24" s="10" t="s">
        <v>404</v>
      </c>
      <c r="E24" s="33" t="n">
        <v>50</v>
      </c>
      <c r="F24" s="33" t="n">
        <v>50</v>
      </c>
      <c r="G24" s="34" t="n">
        <v>2.87</v>
      </c>
      <c r="H24" s="34" t="n">
        <v>2.37</v>
      </c>
      <c r="I24" s="34" t="n">
        <v>5.24</v>
      </c>
      <c r="J24" s="33" t="n">
        <v>1141</v>
      </c>
      <c r="K24" s="33" t="n">
        <v>711</v>
      </c>
      <c r="L24" s="4"/>
    </row>
    <row r="25" customFormat="false" ht="15" hidden="false" customHeight="true" outlineLevel="0" collapsed="false">
      <c r="A25" s="10" t="n">
        <v>23</v>
      </c>
      <c r="B25" s="11" t="s">
        <v>427</v>
      </c>
      <c r="C25" s="15" t="s">
        <v>148</v>
      </c>
      <c r="D25" s="10" t="s">
        <v>410</v>
      </c>
      <c r="E25" s="33" t="n">
        <v>133</v>
      </c>
      <c r="F25" s="33" t="n">
        <v>1500</v>
      </c>
      <c r="G25" s="34" t="n">
        <v>2.93</v>
      </c>
      <c r="H25" s="34" t="n">
        <v>1.05</v>
      </c>
      <c r="I25" s="34" t="n">
        <v>3.98</v>
      </c>
      <c r="J25" s="33" t="n">
        <v>3189</v>
      </c>
      <c r="K25" s="33" t="n">
        <v>1954</v>
      </c>
      <c r="L25" s="4"/>
    </row>
    <row r="26" customFormat="false" ht="15" hidden="false" customHeight="true" outlineLevel="0" collapsed="false">
      <c r="A26" s="10" t="n">
        <v>24</v>
      </c>
      <c r="B26" s="25" t="s">
        <v>428</v>
      </c>
      <c r="C26" s="26" t="s">
        <v>170</v>
      </c>
      <c r="D26" s="10" t="s">
        <v>404</v>
      </c>
      <c r="E26" s="33" t="n">
        <v>250</v>
      </c>
      <c r="F26" s="33" t="n">
        <v>250</v>
      </c>
      <c r="G26" s="34" t="n">
        <v>2.94</v>
      </c>
      <c r="H26" s="34" t="n">
        <v>1.53</v>
      </c>
      <c r="I26" s="34" t="n">
        <v>4.47</v>
      </c>
      <c r="J26" s="33" t="n">
        <v>5066</v>
      </c>
      <c r="K26" s="33" t="n">
        <v>4332</v>
      </c>
      <c r="L26" s="4"/>
    </row>
    <row r="27" customFormat="false" ht="15" hidden="false" customHeight="true" outlineLevel="0" collapsed="false">
      <c r="A27" s="10" t="n">
        <v>25</v>
      </c>
      <c r="B27" s="25" t="s">
        <v>429</v>
      </c>
      <c r="C27" s="26" t="s">
        <v>170</v>
      </c>
      <c r="D27" s="10" t="s">
        <v>404</v>
      </c>
      <c r="E27" s="33" t="n">
        <v>250</v>
      </c>
      <c r="F27" s="33" t="n">
        <v>250</v>
      </c>
      <c r="G27" s="34" t="n">
        <v>2.94</v>
      </c>
      <c r="H27" s="34" t="n">
        <v>0.73</v>
      </c>
      <c r="I27" s="34" t="n">
        <v>3.67</v>
      </c>
      <c r="J27" s="33" t="n">
        <v>4243</v>
      </c>
      <c r="K27" s="33" t="n">
        <v>3779</v>
      </c>
      <c r="L27" s="4"/>
    </row>
    <row r="28" customFormat="false" ht="15" hidden="false" customHeight="true" outlineLevel="0" collapsed="false">
      <c r="A28" s="10" t="n">
        <v>26</v>
      </c>
      <c r="B28" s="11" t="s">
        <v>335</v>
      </c>
      <c r="C28" s="15" t="s">
        <v>148</v>
      </c>
      <c r="D28" s="10" t="s">
        <v>404</v>
      </c>
      <c r="E28" s="33" t="n">
        <v>139</v>
      </c>
      <c r="F28" s="33" t="n">
        <v>139</v>
      </c>
      <c r="G28" s="34" t="n">
        <v>2.97</v>
      </c>
      <c r="H28" s="34" t="n">
        <v>2.42</v>
      </c>
      <c r="I28" s="34" t="n">
        <v>5.39</v>
      </c>
      <c r="J28" s="33" t="n">
        <v>3090</v>
      </c>
      <c r="K28" s="33" t="n">
        <v>1951</v>
      </c>
      <c r="L28" s="4"/>
    </row>
    <row r="29" customFormat="false" ht="15" hidden="false" customHeight="true" outlineLevel="0" collapsed="false">
      <c r="A29" s="10" t="n">
        <v>27</v>
      </c>
      <c r="B29" s="11" t="s">
        <v>430</v>
      </c>
      <c r="C29" s="15" t="s">
        <v>148</v>
      </c>
      <c r="D29" s="10" t="s">
        <v>410</v>
      </c>
      <c r="E29" s="33" t="n">
        <v>13</v>
      </c>
      <c r="F29" s="33" t="n">
        <v>840</v>
      </c>
      <c r="G29" s="34" t="n">
        <v>3.13</v>
      </c>
      <c r="H29" s="34" t="n">
        <v>1.05</v>
      </c>
      <c r="I29" s="34" t="n">
        <v>4.18</v>
      </c>
      <c r="J29" s="33" t="n">
        <v>2097</v>
      </c>
      <c r="K29" s="33" t="n">
        <v>1105</v>
      </c>
      <c r="L29" s="4"/>
    </row>
    <row r="30" customFormat="false" ht="15" hidden="false" customHeight="true" outlineLevel="0" collapsed="false">
      <c r="A30" s="10" t="n">
        <v>28</v>
      </c>
      <c r="B30" s="11" t="s">
        <v>431</v>
      </c>
      <c r="C30" s="15" t="s">
        <v>148</v>
      </c>
      <c r="D30" s="10" t="s">
        <v>410</v>
      </c>
      <c r="E30" s="33" t="n">
        <v>138</v>
      </c>
      <c r="F30" s="33" t="n">
        <v>1320</v>
      </c>
      <c r="G30" s="34" t="n">
        <v>3.2</v>
      </c>
      <c r="H30" s="34" t="n">
        <v>1.48</v>
      </c>
      <c r="I30" s="34" t="n">
        <v>4.68</v>
      </c>
      <c r="J30" s="33" t="n">
        <v>7100</v>
      </c>
      <c r="K30" s="33" t="n">
        <v>3659</v>
      </c>
      <c r="L30" s="4"/>
    </row>
    <row r="31" customFormat="false" ht="15" hidden="false" customHeight="true" outlineLevel="0" collapsed="false">
      <c r="A31" s="10" t="n">
        <v>29</v>
      </c>
      <c r="B31" s="11" t="s">
        <v>432</v>
      </c>
      <c r="C31" s="15" t="s">
        <v>148</v>
      </c>
      <c r="D31" s="10" t="s">
        <v>410</v>
      </c>
      <c r="E31" s="33" t="n">
        <v>44</v>
      </c>
      <c r="F31" s="33" t="n">
        <v>660</v>
      </c>
      <c r="G31" s="34" t="n">
        <v>3.21</v>
      </c>
      <c r="H31" s="34" t="n">
        <v>1.6</v>
      </c>
      <c r="I31" s="34" t="n">
        <v>4.81</v>
      </c>
      <c r="J31" s="33" t="n">
        <v>0</v>
      </c>
      <c r="K31" s="33" t="n">
        <v>0</v>
      </c>
      <c r="L31" s="4"/>
    </row>
    <row r="32" customFormat="false" ht="15" hidden="false" customHeight="true" outlineLevel="0" collapsed="false">
      <c r="A32" s="10" t="n">
        <v>30</v>
      </c>
      <c r="B32" s="11" t="s">
        <v>433</v>
      </c>
      <c r="C32" s="15" t="s">
        <v>148</v>
      </c>
      <c r="D32" s="10" t="s">
        <v>410</v>
      </c>
      <c r="E32" s="33" t="n">
        <v>226</v>
      </c>
      <c r="F32" s="33" t="n">
        <v>1000</v>
      </c>
      <c r="G32" s="34" t="n">
        <v>3.22</v>
      </c>
      <c r="H32" s="34" t="n">
        <v>1.88</v>
      </c>
      <c r="I32" s="34" t="n">
        <v>5.1</v>
      </c>
      <c r="J32" s="33" t="n">
        <v>5720</v>
      </c>
      <c r="K32" s="33" t="n">
        <v>2932</v>
      </c>
      <c r="L32" s="4"/>
    </row>
    <row r="33" customFormat="false" ht="15" hidden="false" customHeight="true" outlineLevel="0" collapsed="false">
      <c r="A33" s="10" t="n">
        <v>31</v>
      </c>
      <c r="B33" s="11" t="s">
        <v>434</v>
      </c>
      <c r="C33" s="15" t="s">
        <v>148</v>
      </c>
      <c r="D33" s="10" t="s">
        <v>410</v>
      </c>
      <c r="E33" s="24"/>
      <c r="F33" s="33" t="n">
        <v>500</v>
      </c>
      <c r="G33" s="34" t="n">
        <v>3.32</v>
      </c>
      <c r="H33" s="34" t="n">
        <v>1.49</v>
      </c>
      <c r="I33" s="34" t="n">
        <v>4.81</v>
      </c>
      <c r="J33" s="33" t="n">
        <v>2482</v>
      </c>
      <c r="K33" s="33" t="n">
        <v>1413</v>
      </c>
      <c r="L33" s="4"/>
    </row>
    <row r="34" customFormat="false" ht="15" hidden="false" customHeight="true" outlineLevel="0" collapsed="false">
      <c r="A34" s="10" t="n">
        <v>32</v>
      </c>
      <c r="B34" s="11" t="s">
        <v>226</v>
      </c>
      <c r="C34" s="15" t="s">
        <v>148</v>
      </c>
      <c r="D34" s="10" t="s">
        <v>410</v>
      </c>
      <c r="E34" s="33" t="n">
        <v>304</v>
      </c>
      <c r="F34" s="33" t="n">
        <v>1600</v>
      </c>
      <c r="G34" s="34" t="n">
        <v>3.41</v>
      </c>
      <c r="H34" s="34" t="n">
        <v>2.08</v>
      </c>
      <c r="I34" s="34" t="n">
        <v>5.49</v>
      </c>
      <c r="J34" s="33" t="n">
        <v>7444</v>
      </c>
      <c r="K34" s="33" t="n">
        <v>4434</v>
      </c>
      <c r="L34" s="4"/>
    </row>
    <row r="35" customFormat="false" ht="15" hidden="false" customHeight="true" outlineLevel="0" collapsed="false">
      <c r="A35" s="10" t="n">
        <v>33</v>
      </c>
      <c r="B35" s="11" t="s">
        <v>435</v>
      </c>
      <c r="C35" s="15" t="s">
        <v>148</v>
      </c>
      <c r="D35" s="10" t="s">
        <v>410</v>
      </c>
      <c r="E35" s="33" t="n">
        <v>26</v>
      </c>
      <c r="F35" s="33" t="n">
        <v>1600</v>
      </c>
      <c r="G35" s="34" t="n">
        <v>3.44</v>
      </c>
      <c r="H35" s="34" t="n">
        <v>0.82</v>
      </c>
      <c r="I35" s="34" t="n">
        <v>4.26</v>
      </c>
      <c r="J35" s="33" t="n">
        <v>4742</v>
      </c>
      <c r="K35" s="33" t="n">
        <v>2695</v>
      </c>
      <c r="L35" s="4"/>
    </row>
    <row r="36" customFormat="false" ht="15" hidden="false" customHeight="true" outlineLevel="0" collapsed="false">
      <c r="A36" s="10" t="n">
        <v>34</v>
      </c>
      <c r="B36" s="11" t="s">
        <v>436</v>
      </c>
      <c r="C36" s="15" t="s">
        <v>148</v>
      </c>
      <c r="D36" s="10" t="s">
        <v>404</v>
      </c>
      <c r="E36" s="33" t="n">
        <v>362</v>
      </c>
      <c r="F36" s="33" t="n">
        <v>362</v>
      </c>
      <c r="G36" s="34" t="n">
        <v>3.5</v>
      </c>
      <c r="H36" s="34" t="n">
        <v>0</v>
      </c>
      <c r="I36" s="34" t="n">
        <v>3.5</v>
      </c>
      <c r="J36" s="33" t="n">
        <v>7804</v>
      </c>
      <c r="K36" s="33" t="n">
        <v>6778</v>
      </c>
      <c r="L36" s="4"/>
    </row>
    <row r="37" customFormat="false" ht="15" hidden="false" customHeight="true" outlineLevel="0" collapsed="false">
      <c r="A37" s="10" t="n">
        <v>35</v>
      </c>
      <c r="B37" s="17" t="s">
        <v>437</v>
      </c>
      <c r="C37" s="19" t="s">
        <v>193</v>
      </c>
      <c r="D37" s="10" t="s">
        <v>410</v>
      </c>
      <c r="E37" s="33" t="n">
        <v>249</v>
      </c>
      <c r="F37" s="33" t="n">
        <v>1080</v>
      </c>
      <c r="G37" s="34" t="n">
        <v>3.65</v>
      </c>
      <c r="H37" s="34" t="n">
        <v>0</v>
      </c>
      <c r="I37" s="34" t="n">
        <v>3.65</v>
      </c>
      <c r="J37" s="33" t="n">
        <v>4719</v>
      </c>
      <c r="K37" s="33" t="n">
        <v>4718</v>
      </c>
      <c r="L37" s="4"/>
    </row>
    <row r="38" customFormat="false" ht="15" hidden="false" customHeight="true" outlineLevel="0" collapsed="false">
      <c r="A38" s="10" t="n">
        <v>36</v>
      </c>
      <c r="B38" s="11" t="s">
        <v>438</v>
      </c>
      <c r="C38" s="15" t="s">
        <v>148</v>
      </c>
      <c r="D38" s="10" t="s">
        <v>410</v>
      </c>
      <c r="E38" s="33" t="n">
        <v>36</v>
      </c>
      <c r="F38" s="33" t="n">
        <v>420</v>
      </c>
      <c r="G38" s="34" t="n">
        <v>3.72</v>
      </c>
      <c r="H38" s="34" t="n">
        <v>1.08</v>
      </c>
      <c r="I38" s="34" t="n">
        <v>4.8</v>
      </c>
      <c r="J38" s="33" t="n">
        <v>583</v>
      </c>
      <c r="K38" s="33" t="n">
        <v>318</v>
      </c>
      <c r="L38" s="4"/>
    </row>
    <row r="39" customFormat="false" ht="15" hidden="false" customHeight="true" outlineLevel="0" collapsed="false">
      <c r="A39" s="10" t="n">
        <v>37</v>
      </c>
      <c r="B39" s="11" t="s">
        <v>228</v>
      </c>
      <c r="C39" s="15" t="s">
        <v>148</v>
      </c>
      <c r="D39" s="10" t="s">
        <v>412</v>
      </c>
      <c r="E39" s="33" t="n">
        <v>1805</v>
      </c>
      <c r="F39" s="33" t="n">
        <v>4000</v>
      </c>
      <c r="G39" s="34" t="n">
        <v>3.73</v>
      </c>
      <c r="H39" s="34" t="n">
        <v>0.9</v>
      </c>
      <c r="I39" s="34" t="n">
        <v>4.63</v>
      </c>
      <c r="J39" s="33" t="n">
        <v>40167</v>
      </c>
      <c r="K39" s="33" t="n">
        <v>29878</v>
      </c>
      <c r="L39" s="4"/>
    </row>
    <row r="40" customFormat="false" ht="15" hidden="false" customHeight="true" outlineLevel="0" collapsed="false">
      <c r="A40" s="10" t="n">
        <v>38</v>
      </c>
      <c r="B40" s="20" t="s">
        <v>439</v>
      </c>
      <c r="C40" s="12" t="s">
        <v>144</v>
      </c>
      <c r="D40" s="10" t="s">
        <v>404</v>
      </c>
      <c r="E40" s="33" t="n">
        <v>361</v>
      </c>
      <c r="F40" s="33" t="n">
        <v>361</v>
      </c>
      <c r="G40" s="34" t="n">
        <v>3.79</v>
      </c>
      <c r="H40" s="34" t="n">
        <v>0</v>
      </c>
      <c r="I40" s="34" t="n">
        <v>3.79</v>
      </c>
      <c r="J40" s="33" t="n">
        <v>143</v>
      </c>
      <c r="K40" s="33" t="n">
        <v>142</v>
      </c>
      <c r="L40" s="4" t="s">
        <v>405</v>
      </c>
    </row>
    <row r="41" customFormat="false" ht="15" hidden="false" customHeight="true" outlineLevel="0" collapsed="false">
      <c r="A41" s="10" t="n">
        <v>39</v>
      </c>
      <c r="B41" s="11" t="s">
        <v>238</v>
      </c>
      <c r="C41" s="15" t="s">
        <v>148</v>
      </c>
      <c r="D41" s="10" t="s">
        <v>410</v>
      </c>
      <c r="E41" s="33" t="n">
        <v>246</v>
      </c>
      <c r="F41" s="33" t="n">
        <v>1320</v>
      </c>
      <c r="G41" s="34" t="n">
        <v>3.84</v>
      </c>
      <c r="H41" s="34" t="n">
        <v>1.81</v>
      </c>
      <c r="I41" s="34" t="n">
        <v>5.65</v>
      </c>
      <c r="J41" s="33" t="n">
        <v>6025</v>
      </c>
      <c r="K41" s="33" t="n">
        <v>3433</v>
      </c>
      <c r="L41" s="4"/>
    </row>
    <row r="42" customFormat="false" ht="15" hidden="false" customHeight="true" outlineLevel="0" collapsed="false">
      <c r="A42" s="10" t="n">
        <v>40</v>
      </c>
      <c r="B42" s="11" t="s">
        <v>158</v>
      </c>
      <c r="C42" s="15" t="s">
        <v>148</v>
      </c>
      <c r="D42" s="10" t="s">
        <v>404</v>
      </c>
      <c r="E42" s="33" t="n">
        <v>500</v>
      </c>
      <c r="F42" s="33" t="n">
        <v>500</v>
      </c>
      <c r="G42" s="34" t="n">
        <v>4.1</v>
      </c>
      <c r="H42" s="34" t="n">
        <v>2.63</v>
      </c>
      <c r="I42" s="34" t="n">
        <v>6.73</v>
      </c>
      <c r="J42" s="33" t="n">
        <v>5843</v>
      </c>
      <c r="K42" s="33" t="n">
        <v>5517</v>
      </c>
      <c r="L42" s="4"/>
    </row>
    <row r="43" customFormat="false" ht="15" hidden="false" customHeight="true" outlineLevel="0" collapsed="false">
      <c r="A43" s="10" t="n">
        <v>41</v>
      </c>
      <c r="B43" s="11" t="s">
        <v>440</v>
      </c>
      <c r="C43" s="15" t="s">
        <v>148</v>
      </c>
      <c r="D43" s="10" t="s">
        <v>404</v>
      </c>
      <c r="E43" s="33" t="n">
        <v>1200</v>
      </c>
      <c r="F43" s="33" t="n">
        <v>1200</v>
      </c>
      <c r="G43" s="34" t="n">
        <v>4.1</v>
      </c>
      <c r="H43" s="34" t="n">
        <v>1.09</v>
      </c>
      <c r="I43" s="34" t="n">
        <v>5.19</v>
      </c>
      <c r="J43" s="33" t="n">
        <v>26928</v>
      </c>
      <c r="K43" s="33" t="n">
        <v>17354</v>
      </c>
      <c r="L43" s="4"/>
    </row>
    <row r="44" customFormat="false" ht="15" hidden="false" customHeight="true" outlineLevel="0" collapsed="false">
      <c r="A44" s="10" t="n">
        <v>42</v>
      </c>
      <c r="B44" s="11" t="s">
        <v>441</v>
      </c>
      <c r="C44" s="15" t="s">
        <v>148</v>
      </c>
      <c r="D44" s="10" t="s">
        <v>404</v>
      </c>
      <c r="E44" s="33" t="n">
        <v>1000</v>
      </c>
      <c r="F44" s="33" t="n">
        <v>1320</v>
      </c>
      <c r="G44" s="34" t="n">
        <v>4.16</v>
      </c>
      <c r="H44" s="34" t="n">
        <v>1</v>
      </c>
      <c r="I44" s="34" t="n">
        <v>5.16</v>
      </c>
      <c r="J44" s="33" t="n">
        <v>21861</v>
      </c>
      <c r="K44" s="33" t="n">
        <v>19633</v>
      </c>
      <c r="L44" s="4"/>
    </row>
    <row r="45" customFormat="false" ht="15" hidden="false" customHeight="true" outlineLevel="0" collapsed="false">
      <c r="A45" s="10" t="n">
        <v>43</v>
      </c>
      <c r="B45" s="11" t="s">
        <v>442</v>
      </c>
      <c r="C45" s="15" t="s">
        <v>148</v>
      </c>
      <c r="D45" s="10" t="s">
        <v>404</v>
      </c>
      <c r="E45" s="33" t="n">
        <v>234</v>
      </c>
      <c r="F45" s="33" t="n">
        <v>234</v>
      </c>
      <c r="G45" s="34" t="n">
        <v>4.21</v>
      </c>
      <c r="H45" s="34" t="n">
        <v>1</v>
      </c>
      <c r="I45" s="34" t="n">
        <v>5.21</v>
      </c>
      <c r="J45" s="33" t="n">
        <v>5116</v>
      </c>
      <c r="K45" s="33" t="n">
        <v>1724</v>
      </c>
      <c r="L45" s="4"/>
    </row>
    <row r="46" customFormat="false" ht="15" hidden="false" customHeight="true" outlineLevel="0" collapsed="false">
      <c r="A46" s="10" t="n">
        <v>44</v>
      </c>
      <c r="B46" s="11" t="s">
        <v>443</v>
      </c>
      <c r="C46" s="15" t="s">
        <v>148</v>
      </c>
      <c r="D46" s="10" t="s">
        <v>404</v>
      </c>
      <c r="E46" s="33" t="n">
        <v>800</v>
      </c>
      <c r="F46" s="33" t="n">
        <v>800</v>
      </c>
      <c r="G46" s="34" t="n">
        <v>4.32</v>
      </c>
      <c r="H46" s="34" t="n">
        <v>0.75</v>
      </c>
      <c r="I46" s="34" t="n">
        <v>5.07</v>
      </c>
      <c r="J46" s="33" t="n">
        <v>18192</v>
      </c>
      <c r="K46" s="33" t="n">
        <v>14712</v>
      </c>
      <c r="L46" s="4"/>
    </row>
    <row r="47" customFormat="false" ht="15" hidden="false" customHeight="true" outlineLevel="0" collapsed="false">
      <c r="A47" s="10" t="n">
        <v>45</v>
      </c>
      <c r="B47" s="11" t="s">
        <v>444</v>
      </c>
      <c r="C47" s="15" t="s">
        <v>148</v>
      </c>
      <c r="D47" s="10" t="s">
        <v>404</v>
      </c>
      <c r="E47" s="33" t="n">
        <v>500</v>
      </c>
      <c r="F47" s="33" t="n">
        <v>500</v>
      </c>
      <c r="G47" s="34" t="n">
        <v>4.35</v>
      </c>
      <c r="H47" s="34" t="n">
        <v>1.7</v>
      </c>
      <c r="I47" s="34" t="n">
        <v>6.05</v>
      </c>
      <c r="J47" s="33" t="n">
        <v>11280</v>
      </c>
      <c r="K47" s="33" t="n">
        <v>9165</v>
      </c>
      <c r="L47" s="4"/>
    </row>
    <row r="48" customFormat="false" ht="15" hidden="false" customHeight="true" outlineLevel="0" collapsed="false">
      <c r="A48" s="10" t="n">
        <v>46</v>
      </c>
      <c r="B48" s="11" t="s">
        <v>445</v>
      </c>
      <c r="C48" s="15" t="s">
        <v>148</v>
      </c>
      <c r="D48" s="10" t="s">
        <v>404</v>
      </c>
      <c r="E48" s="33" t="n">
        <v>1000</v>
      </c>
      <c r="F48" s="33" t="n">
        <v>1320</v>
      </c>
      <c r="G48" s="34" t="n">
        <v>4.45</v>
      </c>
      <c r="H48" s="34" t="n">
        <v>1.21</v>
      </c>
      <c r="I48" s="34" t="n">
        <v>5.66</v>
      </c>
      <c r="J48" s="33" t="n">
        <v>24000</v>
      </c>
      <c r="K48" s="33" t="n">
        <v>16725</v>
      </c>
      <c r="L48" s="4"/>
    </row>
    <row r="49" customFormat="false" ht="15" hidden="false" customHeight="true" outlineLevel="0" collapsed="false">
      <c r="A49" s="10" t="n">
        <v>47</v>
      </c>
      <c r="B49" s="11" t="s">
        <v>446</v>
      </c>
      <c r="C49" s="15" t="s">
        <v>148</v>
      </c>
      <c r="D49" s="10" t="s">
        <v>404</v>
      </c>
      <c r="E49" s="33" t="n">
        <v>215</v>
      </c>
      <c r="F49" s="33" t="n">
        <v>215</v>
      </c>
      <c r="G49" s="34" t="n">
        <v>4.49</v>
      </c>
      <c r="H49" s="34" t="n">
        <v>1.5</v>
      </c>
      <c r="I49" s="34" t="n">
        <v>5.99</v>
      </c>
      <c r="J49" s="33" t="n">
        <v>1392</v>
      </c>
      <c r="K49" s="33" t="n">
        <v>1135</v>
      </c>
      <c r="L49" s="4"/>
    </row>
    <row r="50" customFormat="false" ht="15" hidden="false" customHeight="true" outlineLevel="0" collapsed="false">
      <c r="A50" s="10" t="n">
        <v>48</v>
      </c>
      <c r="B50" s="11" t="s">
        <v>447</v>
      </c>
      <c r="C50" s="15" t="s">
        <v>148</v>
      </c>
      <c r="D50" s="10" t="s">
        <v>404</v>
      </c>
      <c r="E50" s="33" t="n">
        <v>200</v>
      </c>
      <c r="F50" s="33" t="n">
        <v>200</v>
      </c>
      <c r="G50" s="34" t="n">
        <v>4.5</v>
      </c>
      <c r="H50" s="34" t="n">
        <v>1</v>
      </c>
      <c r="I50" s="34" t="n">
        <v>5.5</v>
      </c>
      <c r="J50" s="33" t="n">
        <v>4800</v>
      </c>
      <c r="K50" s="33" t="n">
        <v>140</v>
      </c>
      <c r="L50" s="4"/>
    </row>
    <row r="51" customFormat="false" ht="15" hidden="false" customHeight="true" outlineLevel="0" collapsed="false">
      <c r="A51" s="10" t="n">
        <v>49</v>
      </c>
      <c r="B51" s="11" t="s">
        <v>448</v>
      </c>
      <c r="C51" s="15" t="s">
        <v>148</v>
      </c>
      <c r="D51" s="10" t="s">
        <v>404</v>
      </c>
      <c r="E51" s="33" t="n">
        <v>200</v>
      </c>
      <c r="F51" s="33" t="n">
        <v>200</v>
      </c>
      <c r="G51" s="34" t="n">
        <v>4.56</v>
      </c>
      <c r="H51" s="34" t="n">
        <v>0.38</v>
      </c>
      <c r="I51" s="34" t="n">
        <v>4.94</v>
      </c>
      <c r="J51" s="33" t="n">
        <v>4292</v>
      </c>
      <c r="K51" s="33" t="n">
        <v>3394</v>
      </c>
      <c r="L51" s="4"/>
    </row>
    <row r="52" customFormat="false" ht="15" hidden="false" customHeight="true" outlineLevel="0" collapsed="false">
      <c r="A52" s="10" t="n">
        <v>50</v>
      </c>
      <c r="B52" s="11" t="s">
        <v>449</v>
      </c>
      <c r="C52" s="15" t="s">
        <v>148</v>
      </c>
      <c r="D52" s="10" t="s">
        <v>404</v>
      </c>
      <c r="E52" s="33" t="n">
        <v>24</v>
      </c>
      <c r="F52" s="33" t="n">
        <v>1320</v>
      </c>
      <c r="G52" s="34" t="n">
        <v>4.57</v>
      </c>
      <c r="H52" s="34" t="n">
        <v>1.72</v>
      </c>
      <c r="I52" s="34" t="n">
        <v>6.29</v>
      </c>
      <c r="J52" s="33" t="n">
        <v>530</v>
      </c>
      <c r="K52" s="33" t="n">
        <v>291</v>
      </c>
      <c r="L52" s="4"/>
    </row>
    <row r="53" customFormat="false" ht="15" hidden="false" customHeight="true" outlineLevel="0" collapsed="false">
      <c r="A53" s="10" t="n">
        <v>51</v>
      </c>
      <c r="B53" s="11" t="s">
        <v>356</v>
      </c>
      <c r="C53" s="15" t="s">
        <v>148</v>
      </c>
      <c r="D53" s="10" t="s">
        <v>404</v>
      </c>
      <c r="E53" s="33" t="n">
        <v>75</v>
      </c>
      <c r="F53" s="33" t="n">
        <v>75</v>
      </c>
      <c r="G53" s="34" t="n">
        <v>4.82</v>
      </c>
      <c r="H53" s="34" t="n">
        <v>1.95</v>
      </c>
      <c r="I53" s="34" t="n">
        <v>6.77</v>
      </c>
      <c r="J53" s="33" t="n">
        <v>0</v>
      </c>
      <c r="K53" s="33" t="n">
        <v>0</v>
      </c>
      <c r="L53" s="4"/>
    </row>
    <row r="54" customFormat="false" ht="15" hidden="false" customHeight="true" outlineLevel="0" collapsed="false">
      <c r="A54" s="10" t="n">
        <v>52</v>
      </c>
      <c r="B54" s="11" t="s">
        <v>450</v>
      </c>
      <c r="C54" s="15" t="s">
        <v>148</v>
      </c>
      <c r="D54" s="10" t="s">
        <v>404</v>
      </c>
      <c r="E54" s="33" t="n">
        <v>577</v>
      </c>
      <c r="F54" s="33" t="n">
        <v>577</v>
      </c>
      <c r="G54" s="34" t="n">
        <v>4.86</v>
      </c>
      <c r="H54" s="34" t="n">
        <v>0.97</v>
      </c>
      <c r="I54" s="34" t="n">
        <v>5.83</v>
      </c>
      <c r="J54" s="33" t="n">
        <v>12671</v>
      </c>
      <c r="K54" s="33" t="n">
        <v>6095</v>
      </c>
      <c r="L54" s="4"/>
    </row>
    <row r="55" customFormat="false" ht="15" hidden="false" customHeight="true" outlineLevel="0" collapsed="false">
      <c r="A55" s="10" t="n">
        <v>53</v>
      </c>
      <c r="B55" s="11" t="s">
        <v>451</v>
      </c>
      <c r="C55" s="15" t="s">
        <v>148</v>
      </c>
      <c r="D55" s="10" t="s">
        <v>404</v>
      </c>
      <c r="E55" s="33" t="n">
        <v>210</v>
      </c>
      <c r="F55" s="33" t="n">
        <v>210</v>
      </c>
      <c r="G55" s="34" t="n">
        <v>4.92</v>
      </c>
      <c r="H55" s="34" t="n">
        <v>0.47</v>
      </c>
      <c r="I55" s="34" t="n">
        <v>5.39</v>
      </c>
      <c r="J55" s="33" t="n">
        <v>4586</v>
      </c>
      <c r="K55" s="33" t="n">
        <v>3386</v>
      </c>
      <c r="L55" s="4"/>
    </row>
    <row r="56" customFormat="false" ht="15" hidden="false" customHeight="true" outlineLevel="0" collapsed="false">
      <c r="A56" s="10" t="n">
        <v>54</v>
      </c>
      <c r="B56" s="20" t="s">
        <v>179</v>
      </c>
      <c r="C56" s="12" t="s">
        <v>144</v>
      </c>
      <c r="D56" s="10" t="s">
        <v>404</v>
      </c>
      <c r="E56" s="33" t="n">
        <v>1148</v>
      </c>
      <c r="F56" s="33" t="n">
        <v>1148</v>
      </c>
      <c r="G56" s="34" t="n">
        <v>4.94</v>
      </c>
      <c r="H56" s="34" t="n">
        <v>0</v>
      </c>
      <c r="I56" s="34" t="n">
        <v>4.94</v>
      </c>
      <c r="J56" s="33" t="n">
        <v>6109</v>
      </c>
      <c r="K56" s="33" t="n">
        <v>5543</v>
      </c>
      <c r="L56" s="4"/>
    </row>
    <row r="57" customFormat="false" ht="15" hidden="false" customHeight="true" outlineLevel="0" collapsed="false">
      <c r="A57" s="10" t="n">
        <v>55</v>
      </c>
      <c r="B57" s="11" t="s">
        <v>452</v>
      </c>
      <c r="C57" s="15" t="s">
        <v>148</v>
      </c>
      <c r="D57" s="10" t="s">
        <v>404</v>
      </c>
      <c r="E57" s="33" t="n">
        <v>210</v>
      </c>
      <c r="F57" s="33" t="n">
        <v>210</v>
      </c>
      <c r="G57" s="34" t="n">
        <v>5.15</v>
      </c>
      <c r="H57" s="34" t="n">
        <v>0.63</v>
      </c>
      <c r="I57" s="34" t="n">
        <v>5.78</v>
      </c>
      <c r="J57" s="33" t="n">
        <v>0</v>
      </c>
      <c r="K57" s="33" t="n">
        <v>0</v>
      </c>
      <c r="L57" s="4"/>
    </row>
    <row r="58" customFormat="false" ht="15" hidden="false" customHeight="true" outlineLevel="0" collapsed="false">
      <c r="A58" s="10" t="n">
        <v>56</v>
      </c>
      <c r="B58" s="11" t="s">
        <v>453</v>
      </c>
      <c r="C58" s="15" t="s">
        <v>148</v>
      </c>
      <c r="D58" s="10" t="s">
        <v>404</v>
      </c>
      <c r="E58" s="33" t="n">
        <v>210</v>
      </c>
      <c r="F58" s="33" t="n">
        <v>210</v>
      </c>
      <c r="G58" s="34" t="n">
        <v>5.24</v>
      </c>
      <c r="H58" s="34" t="n">
        <v>0.61</v>
      </c>
      <c r="I58" s="34" t="n">
        <v>5.85</v>
      </c>
      <c r="J58" s="33" t="n">
        <v>4561</v>
      </c>
      <c r="K58" s="33" t="n">
        <v>2520</v>
      </c>
      <c r="L58" s="4"/>
    </row>
    <row r="59" customFormat="false" ht="15" hidden="false" customHeight="true" outlineLevel="0" collapsed="false">
      <c r="A59" s="10" t="n">
        <v>57</v>
      </c>
      <c r="B59" s="11" t="s">
        <v>454</v>
      </c>
      <c r="C59" s="15" t="s">
        <v>148</v>
      </c>
      <c r="D59" s="10" t="s">
        <v>404</v>
      </c>
      <c r="E59" s="33" t="n">
        <v>1260</v>
      </c>
      <c r="F59" s="33" t="n">
        <v>1260</v>
      </c>
      <c r="G59" s="34" t="n">
        <v>5.28</v>
      </c>
      <c r="H59" s="34" t="n">
        <v>0.47</v>
      </c>
      <c r="I59" s="34" t="n">
        <v>5.75</v>
      </c>
      <c r="J59" s="33" t="n">
        <v>0</v>
      </c>
      <c r="K59" s="33" t="n">
        <v>0</v>
      </c>
      <c r="L59" s="4"/>
    </row>
    <row r="60" customFormat="false" ht="15" hidden="false" customHeight="true" outlineLevel="0" collapsed="false">
      <c r="A60" s="10" t="n">
        <v>58</v>
      </c>
      <c r="B60" s="11" t="s">
        <v>455</v>
      </c>
      <c r="C60" s="15" t="s">
        <v>148</v>
      </c>
      <c r="D60" s="10" t="s">
        <v>404</v>
      </c>
      <c r="E60" s="33" t="n">
        <v>850</v>
      </c>
      <c r="F60" s="33" t="n">
        <v>850</v>
      </c>
      <c r="G60" s="34" t="n">
        <v>5.3</v>
      </c>
      <c r="H60" s="34" t="n">
        <v>0.38</v>
      </c>
      <c r="I60" s="34" t="n">
        <v>5.68</v>
      </c>
      <c r="J60" s="33" t="n">
        <v>0</v>
      </c>
      <c r="K60" s="33" t="n">
        <v>0</v>
      </c>
      <c r="L60" s="4"/>
    </row>
    <row r="61" customFormat="false" ht="15" hidden="false" customHeight="true" outlineLevel="0" collapsed="false">
      <c r="A61" s="10" t="n">
        <v>59</v>
      </c>
      <c r="B61" s="11" t="s">
        <v>456</v>
      </c>
      <c r="C61" s="15" t="s">
        <v>148</v>
      </c>
      <c r="D61" s="10" t="s">
        <v>404</v>
      </c>
      <c r="E61" s="33" t="n">
        <v>420</v>
      </c>
      <c r="F61" s="33" t="n">
        <v>420</v>
      </c>
      <c r="G61" s="34" t="n">
        <v>5.5</v>
      </c>
      <c r="H61" s="34" t="n">
        <v>1.08</v>
      </c>
      <c r="I61" s="34" t="n">
        <v>6.58</v>
      </c>
      <c r="J61" s="24"/>
      <c r="K61" s="24"/>
      <c r="L61" s="4"/>
    </row>
    <row r="62" customFormat="false" ht="15" hidden="false" customHeight="true" outlineLevel="0" collapsed="false">
      <c r="A62" s="10" t="n">
        <v>60</v>
      </c>
      <c r="B62" s="20" t="s">
        <v>457</v>
      </c>
      <c r="C62" s="12" t="s">
        <v>144</v>
      </c>
      <c r="D62" s="10" t="s">
        <v>410</v>
      </c>
      <c r="E62" s="33" t="n">
        <v>231</v>
      </c>
      <c r="F62" s="33" t="n">
        <v>657</v>
      </c>
      <c r="G62" s="34" t="n">
        <v>5.88</v>
      </c>
      <c r="H62" s="34" t="n">
        <v>1.06</v>
      </c>
      <c r="I62" s="34" t="n">
        <v>6.94</v>
      </c>
      <c r="J62" s="33" t="n">
        <v>0</v>
      </c>
      <c r="K62" s="33" t="n">
        <v>0</v>
      </c>
      <c r="L62" s="4"/>
    </row>
    <row r="63" customFormat="false" ht="15" hidden="false" customHeight="true" outlineLevel="0" collapsed="false">
      <c r="A63" s="10" t="n">
        <v>61</v>
      </c>
      <c r="B63" s="20" t="s">
        <v>370</v>
      </c>
      <c r="C63" s="12" t="s">
        <v>144</v>
      </c>
      <c r="D63" s="10" t="s">
        <v>410</v>
      </c>
      <c r="E63" s="33" t="n">
        <v>182</v>
      </c>
      <c r="F63" s="33" t="n">
        <v>656</v>
      </c>
      <c r="G63" s="34" t="n">
        <v>5.91</v>
      </c>
      <c r="H63" s="34" t="n">
        <v>0.84</v>
      </c>
      <c r="I63" s="34" t="n">
        <v>6.75</v>
      </c>
      <c r="J63" s="33" t="n">
        <v>0</v>
      </c>
      <c r="K63" s="33" t="n">
        <v>0</v>
      </c>
      <c r="L63" s="4"/>
    </row>
    <row r="64" customFormat="false" ht="15" hidden="false" customHeight="true" outlineLevel="0" collapsed="false">
      <c r="A64" s="10" t="n">
        <v>62</v>
      </c>
      <c r="B64" s="20" t="s">
        <v>458</v>
      </c>
      <c r="C64" s="12" t="s">
        <v>144</v>
      </c>
      <c r="D64" s="10" t="s">
        <v>410</v>
      </c>
      <c r="E64" s="33" t="n">
        <v>231</v>
      </c>
      <c r="F64" s="33" t="n">
        <v>657</v>
      </c>
      <c r="G64" s="34" t="n">
        <v>6</v>
      </c>
      <c r="H64" s="34" t="n">
        <v>1.06</v>
      </c>
      <c r="I64" s="34" t="n">
        <v>7.06</v>
      </c>
      <c r="J64" s="33" t="n">
        <v>0</v>
      </c>
      <c r="K64" s="33" t="n">
        <v>0</v>
      </c>
      <c r="L64" s="4"/>
    </row>
    <row r="65" customFormat="false" ht="15" hidden="false" customHeight="true" outlineLevel="0" collapsed="false">
      <c r="A65" s="10" t="n">
        <v>63</v>
      </c>
      <c r="B65" s="20" t="s">
        <v>459</v>
      </c>
      <c r="C65" s="12" t="s">
        <v>144</v>
      </c>
      <c r="D65" s="10" t="s">
        <v>410</v>
      </c>
      <c r="E65" s="33" t="n">
        <v>182</v>
      </c>
      <c r="F65" s="33" t="n">
        <v>656</v>
      </c>
      <c r="G65" s="34" t="n">
        <v>6.02</v>
      </c>
      <c r="H65" s="34" t="n">
        <v>0.84</v>
      </c>
      <c r="I65" s="34" t="n">
        <v>6.86</v>
      </c>
      <c r="J65" s="33" t="n">
        <v>0</v>
      </c>
      <c r="K65" s="33" t="n">
        <v>0</v>
      </c>
      <c r="L65" s="4"/>
    </row>
    <row r="66" customFormat="false" ht="15" hidden="false" customHeight="true" outlineLevel="0" collapsed="false">
      <c r="A66" s="10" t="n">
        <v>64</v>
      </c>
      <c r="B66" s="20" t="s">
        <v>460</v>
      </c>
      <c r="C66" s="12" t="s">
        <v>144</v>
      </c>
      <c r="D66" s="10" t="s">
        <v>404</v>
      </c>
      <c r="E66" s="33" t="n">
        <v>1148</v>
      </c>
      <c r="F66" s="33" t="n">
        <v>1148</v>
      </c>
      <c r="G66" s="34" t="n">
        <v>6.27</v>
      </c>
      <c r="H66" s="34" t="n">
        <v>0</v>
      </c>
      <c r="I66" s="34" t="n">
        <v>6.27</v>
      </c>
      <c r="J66" s="33" t="n">
        <v>389</v>
      </c>
      <c r="K66" s="33" t="n">
        <v>0</v>
      </c>
      <c r="L66" s="4"/>
    </row>
    <row r="67" customFormat="false" ht="15" hidden="false" customHeight="true" outlineLevel="0" collapsed="false">
      <c r="A67" s="10" t="n">
        <v>65</v>
      </c>
      <c r="B67" s="11" t="s">
        <v>461</v>
      </c>
      <c r="C67" s="15" t="s">
        <v>148</v>
      </c>
      <c r="D67" s="10" t="s">
        <v>404</v>
      </c>
      <c r="E67" s="33" t="n">
        <v>500</v>
      </c>
      <c r="F67" s="33" t="n">
        <v>500</v>
      </c>
      <c r="G67" s="34" t="n">
        <v>6.35</v>
      </c>
      <c r="H67" s="34" t="n">
        <v>1.58</v>
      </c>
      <c r="I67" s="34" t="n">
        <v>7.93</v>
      </c>
      <c r="J67" s="33" t="n">
        <v>0</v>
      </c>
      <c r="K67" s="33" t="n">
        <v>0</v>
      </c>
      <c r="L67" s="4"/>
    </row>
    <row r="68" customFormat="false" ht="15" hidden="false" customHeight="true" outlineLevel="0" collapsed="false">
      <c r="A68" s="10" t="n">
        <v>66</v>
      </c>
      <c r="B68" s="20" t="s">
        <v>462</v>
      </c>
      <c r="C68" s="12" t="s">
        <v>144</v>
      </c>
      <c r="D68" s="10" t="s">
        <v>404</v>
      </c>
      <c r="E68" s="33" t="n">
        <v>351</v>
      </c>
      <c r="F68" s="33" t="n">
        <v>351</v>
      </c>
      <c r="G68" s="34" t="n">
        <v>9.51</v>
      </c>
      <c r="H68" s="34" t="n">
        <v>1.15</v>
      </c>
      <c r="I68" s="34" t="n">
        <v>10.66</v>
      </c>
      <c r="J68" s="33" t="n">
        <v>0</v>
      </c>
      <c r="K68" s="33" t="n">
        <v>0</v>
      </c>
      <c r="L68" s="4"/>
    </row>
    <row r="69" customFormat="false" ht="15" hidden="false" customHeight="true" outlineLevel="0" collapsed="false">
      <c r="A69" s="10" t="n">
        <v>67</v>
      </c>
      <c r="B69" s="20" t="s">
        <v>463</v>
      </c>
      <c r="C69" s="12" t="s">
        <v>144</v>
      </c>
      <c r="D69" s="10" t="s">
        <v>404</v>
      </c>
      <c r="E69" s="33" t="n">
        <v>376</v>
      </c>
      <c r="F69" s="33" t="n">
        <v>376</v>
      </c>
      <c r="G69" s="34" t="n">
        <v>9.53</v>
      </c>
      <c r="H69" s="34" t="n">
        <v>1.11</v>
      </c>
      <c r="I69" s="34" t="n">
        <v>10.64</v>
      </c>
      <c r="J69" s="33" t="n">
        <v>0</v>
      </c>
      <c r="K69" s="33" t="n">
        <v>0</v>
      </c>
      <c r="L69" s="4"/>
    </row>
    <row r="70" customFormat="false" ht="15" hidden="false" customHeight="true" outlineLevel="0" collapsed="false">
      <c r="A70" s="10" t="n">
        <v>68</v>
      </c>
      <c r="B70" s="20" t="s">
        <v>464</v>
      </c>
      <c r="C70" s="12" t="s">
        <v>144</v>
      </c>
      <c r="D70" s="10" t="s">
        <v>404</v>
      </c>
      <c r="E70" s="33" t="n">
        <v>375</v>
      </c>
      <c r="F70" s="33" t="n">
        <v>375</v>
      </c>
      <c r="G70" s="34" t="n">
        <v>9.53</v>
      </c>
      <c r="H70" s="34" t="n">
        <v>0.98</v>
      </c>
      <c r="I70" s="34" t="n">
        <v>10.51</v>
      </c>
      <c r="J70" s="33" t="n">
        <v>0</v>
      </c>
      <c r="K70" s="33" t="n">
        <v>0</v>
      </c>
      <c r="L70" s="4"/>
    </row>
    <row r="71" customFormat="false" ht="15" hidden="false" customHeight="true" outlineLevel="0" collapsed="false">
      <c r="A71" s="10" t="n">
        <v>69</v>
      </c>
      <c r="B71" s="20" t="s">
        <v>379</v>
      </c>
      <c r="C71" s="12" t="s">
        <v>144</v>
      </c>
      <c r="D71" s="10" t="s">
        <v>404</v>
      </c>
      <c r="E71" s="33" t="n">
        <v>703</v>
      </c>
      <c r="F71" s="33" t="n">
        <v>703</v>
      </c>
      <c r="G71" s="34" t="n">
        <v>9.64</v>
      </c>
      <c r="H71" s="34" t="n">
        <v>0.77</v>
      </c>
      <c r="I71" s="34" t="n">
        <v>10.41</v>
      </c>
      <c r="J71" s="33" t="n">
        <v>0</v>
      </c>
      <c r="K71" s="33" t="n">
        <v>0</v>
      </c>
      <c r="L71" s="4"/>
    </row>
    <row r="72" customFormat="false" ht="15" hidden="false" customHeight="true" outlineLevel="0" collapsed="false">
      <c r="A72" s="10" t="n">
        <v>70</v>
      </c>
      <c r="B72" s="20" t="s">
        <v>465</v>
      </c>
      <c r="C72" s="12" t="s">
        <v>144</v>
      </c>
      <c r="D72" s="10" t="s">
        <v>404</v>
      </c>
      <c r="E72" s="33" t="n">
        <v>182</v>
      </c>
      <c r="F72" s="33" t="n">
        <v>656</v>
      </c>
      <c r="G72" s="34" t="n">
        <v>9.82</v>
      </c>
      <c r="H72" s="34" t="n">
        <v>0.84</v>
      </c>
      <c r="I72" s="34" t="n">
        <v>10.66</v>
      </c>
      <c r="J72" s="33" t="n">
        <v>4314</v>
      </c>
      <c r="K72" s="33" t="n">
        <v>0</v>
      </c>
      <c r="L72" s="4"/>
    </row>
    <row r="73" customFormat="false" ht="15" hidden="false" customHeight="true" outlineLevel="0" collapsed="false">
      <c r="A73" s="10" t="n">
        <v>71</v>
      </c>
      <c r="B73" s="20" t="s">
        <v>466</v>
      </c>
      <c r="C73" s="12" t="s">
        <v>144</v>
      </c>
      <c r="D73" s="10" t="s">
        <v>410</v>
      </c>
      <c r="E73" s="33" t="n">
        <v>231</v>
      </c>
      <c r="F73" s="33" t="n">
        <v>657</v>
      </c>
      <c r="G73" s="34" t="n">
        <v>10.04</v>
      </c>
      <c r="H73" s="34" t="n">
        <v>1.06</v>
      </c>
      <c r="I73" s="34" t="n">
        <v>11.1</v>
      </c>
      <c r="J73" s="33" t="n">
        <v>0</v>
      </c>
      <c r="K73" s="33" t="n">
        <v>0</v>
      </c>
      <c r="L73" s="4"/>
    </row>
    <row r="74" customFormat="false" ht="15" hidden="false" customHeight="true" outlineLevel="0" collapsed="false">
      <c r="A74" s="10" t="n">
        <v>72</v>
      </c>
      <c r="B74" s="20" t="s">
        <v>374</v>
      </c>
      <c r="C74" s="12" t="s">
        <v>144</v>
      </c>
      <c r="D74" s="10" t="s">
        <v>410</v>
      </c>
      <c r="E74" s="33" t="n">
        <v>182</v>
      </c>
      <c r="F74" s="33" t="n">
        <v>656</v>
      </c>
      <c r="G74" s="34" t="n">
        <v>10.1</v>
      </c>
      <c r="H74" s="34" t="n">
        <v>0.84</v>
      </c>
      <c r="I74" s="34" t="n">
        <v>10.94</v>
      </c>
      <c r="J74" s="33" t="n">
        <v>0</v>
      </c>
      <c r="K74" s="33" t="n">
        <v>0</v>
      </c>
      <c r="L74" s="4"/>
    </row>
    <row r="75" customFormat="false" ht="15" hidden="false" customHeight="true" outlineLevel="0" collapsed="false">
      <c r="A75" s="10" t="n">
        <v>73</v>
      </c>
      <c r="B75" s="20" t="s">
        <v>467</v>
      </c>
      <c r="C75" s="12" t="s">
        <v>144</v>
      </c>
      <c r="D75" s="10" t="s">
        <v>404</v>
      </c>
      <c r="E75" s="33" t="n">
        <v>112</v>
      </c>
      <c r="F75" s="33" t="n">
        <v>112</v>
      </c>
      <c r="G75" s="34" t="n">
        <v>11</v>
      </c>
      <c r="H75" s="34" t="n">
        <v>0.72</v>
      </c>
      <c r="I75" s="34" t="n">
        <v>11.72</v>
      </c>
      <c r="J75" s="33" t="n">
        <v>0</v>
      </c>
      <c r="K75" s="33" t="n">
        <v>0</v>
      </c>
      <c r="L75" s="4"/>
    </row>
    <row r="76" customFormat="false" ht="15" hidden="false" customHeight="true" outlineLevel="0" collapsed="false">
      <c r="A76" s="10" t="n">
        <v>74</v>
      </c>
      <c r="B76" s="20" t="s">
        <v>385</v>
      </c>
      <c r="C76" s="12" t="s">
        <v>144</v>
      </c>
      <c r="D76" s="10" t="s">
        <v>404</v>
      </c>
      <c r="E76" s="33" t="n">
        <v>376</v>
      </c>
      <c r="F76" s="33" t="n">
        <v>376</v>
      </c>
      <c r="G76" s="34" t="n">
        <v>12.61</v>
      </c>
      <c r="H76" s="34" t="n">
        <v>1.11</v>
      </c>
      <c r="I76" s="34" t="n">
        <v>13.72</v>
      </c>
      <c r="J76" s="33" t="n">
        <v>0</v>
      </c>
      <c r="K76" s="33" t="n">
        <v>0</v>
      </c>
      <c r="L76" s="4"/>
    </row>
    <row r="77" customFormat="false" ht="15" hidden="false" customHeight="true" outlineLevel="0" collapsed="false">
      <c r="A77" s="10" t="n">
        <v>75</v>
      </c>
      <c r="B77" s="20" t="s">
        <v>468</v>
      </c>
      <c r="C77" s="12" t="s">
        <v>144</v>
      </c>
      <c r="D77" s="10" t="s">
        <v>404</v>
      </c>
      <c r="E77" s="33" t="n">
        <v>375</v>
      </c>
      <c r="F77" s="33" t="n">
        <v>375</v>
      </c>
      <c r="G77" s="34" t="n">
        <v>12.61</v>
      </c>
      <c r="H77" s="34" t="n">
        <v>0.98</v>
      </c>
      <c r="I77" s="34" t="n">
        <v>13.59</v>
      </c>
      <c r="J77" s="33" t="n">
        <v>0</v>
      </c>
      <c r="K77" s="33" t="n">
        <v>0</v>
      </c>
      <c r="L77" s="4"/>
    </row>
    <row r="78" customFormat="false" ht="15" hidden="false" customHeight="true" outlineLevel="0" collapsed="false">
      <c r="A78" s="10" t="n">
        <v>76</v>
      </c>
      <c r="B78" s="20" t="s">
        <v>469</v>
      </c>
      <c r="C78" s="12" t="s">
        <v>144</v>
      </c>
      <c r="D78" s="10" t="s">
        <v>404</v>
      </c>
      <c r="E78" s="33" t="n">
        <v>351</v>
      </c>
      <c r="F78" s="33" t="n">
        <v>351</v>
      </c>
      <c r="G78" s="34" t="n">
        <v>12.63</v>
      </c>
      <c r="H78" s="34" t="n">
        <v>1.15</v>
      </c>
      <c r="I78" s="34" t="n">
        <v>13.78</v>
      </c>
      <c r="J78" s="33" t="n">
        <v>0</v>
      </c>
      <c r="K78" s="33" t="n">
        <v>0</v>
      </c>
      <c r="L78" s="4"/>
    </row>
    <row r="79" customFormat="false" ht="15" hidden="false" customHeight="true" outlineLevel="0" collapsed="false">
      <c r="A79" s="10" t="n">
        <v>77</v>
      </c>
      <c r="B79" s="20" t="s">
        <v>470</v>
      </c>
      <c r="C79" s="12" t="s">
        <v>144</v>
      </c>
      <c r="D79" s="10" t="s">
        <v>404</v>
      </c>
      <c r="E79" s="33" t="n">
        <v>703</v>
      </c>
      <c r="F79" s="33" t="n">
        <v>703</v>
      </c>
      <c r="G79" s="34" t="n">
        <v>12.95</v>
      </c>
      <c r="H79" s="34" t="n">
        <v>0.77</v>
      </c>
      <c r="I79" s="34" t="n">
        <v>13.72</v>
      </c>
      <c r="J79" s="33" t="n">
        <v>0</v>
      </c>
      <c r="K79" s="33" t="n">
        <v>0</v>
      </c>
      <c r="L79" s="4"/>
    </row>
    <row r="80" customFormat="false" ht="15" hidden="false" customHeight="true" outlineLevel="0" collapsed="false">
      <c r="A80" s="10" t="n">
        <v>78</v>
      </c>
      <c r="B80" s="20" t="s">
        <v>391</v>
      </c>
      <c r="C80" s="12" t="s">
        <v>144</v>
      </c>
      <c r="D80" s="10" t="s">
        <v>404</v>
      </c>
      <c r="E80" s="33" t="n">
        <v>112</v>
      </c>
      <c r="F80" s="33" t="n">
        <v>112</v>
      </c>
      <c r="G80" s="34" t="n">
        <v>14.57</v>
      </c>
      <c r="H80" s="34" t="n">
        <v>0.72</v>
      </c>
      <c r="I80" s="34" t="n">
        <v>15.29</v>
      </c>
      <c r="J80" s="33" t="n">
        <v>0</v>
      </c>
      <c r="K80" s="33" t="n">
        <v>0</v>
      </c>
      <c r="L80" s="4"/>
    </row>
    <row r="81" customFormat="false" ht="15" hidden="false" customHeight="true" outlineLevel="0" collapsed="false">
      <c r="A81" s="10" t="n">
        <v>79</v>
      </c>
      <c r="B81" s="20" t="s">
        <v>471</v>
      </c>
      <c r="C81" s="12" t="s">
        <v>144</v>
      </c>
      <c r="D81" s="10" t="s">
        <v>410</v>
      </c>
      <c r="E81" s="33" t="n">
        <v>182</v>
      </c>
      <c r="F81" s="33" t="n">
        <v>656</v>
      </c>
      <c r="G81" s="34" t="n">
        <v>23.8</v>
      </c>
      <c r="H81" s="34" t="n">
        <v>0.84</v>
      </c>
      <c r="I81" s="34" t="n">
        <v>24.64</v>
      </c>
      <c r="J81" s="33" t="n">
        <v>0</v>
      </c>
      <c r="K81" s="33" t="n">
        <v>0</v>
      </c>
      <c r="L81" s="4" t="s">
        <v>393</v>
      </c>
    </row>
    <row r="82" customFormat="false" ht="21.75" hidden="false" customHeight="true" outlineLevel="0" collapsed="false">
      <c r="A82" s="35" t="s">
        <v>472</v>
      </c>
      <c r="B82" s="23"/>
      <c r="C82" s="23"/>
      <c r="D82" s="23"/>
      <c r="E82" s="23"/>
      <c r="F82" s="23"/>
      <c r="G82" s="23"/>
      <c r="H82" s="23"/>
      <c r="I82" s="23"/>
      <c r="J82" s="36" t="n">
        <f aca="false">SUM(J3:J81)</f>
        <v>528727</v>
      </c>
      <c r="K82" s="36" t="n">
        <f aca="false">SUM(K3:K81)</f>
        <v>429312</v>
      </c>
      <c r="L82" s="23"/>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2"/>
    <col collapsed="false" customWidth="true" hidden="false" outlineLevel="0" max="3" min="3" style="1" width="18"/>
    <col collapsed="false" customWidth="true" hidden="false" outlineLevel="0" max="4" min="4" style="1" width="16"/>
    <col collapsed="false" customWidth="true" hidden="false" outlineLevel="0" max="6" min="5" style="1" width="20"/>
    <col collapsed="false" customWidth="true" hidden="false" outlineLevel="0" max="7" min="7" style="1" width="10"/>
    <col collapsed="false" customWidth="true" hidden="false" outlineLevel="0" max="8" min="8" style="1" width="24"/>
  </cols>
  <sheetData>
    <row r="1" customFormat="false" ht="27.75" hidden="false" customHeight="true" outlineLevel="0" collapsed="false">
      <c r="A1" s="8" t="s">
        <v>473</v>
      </c>
      <c r="B1" s="8"/>
      <c r="C1" s="8"/>
      <c r="D1" s="8"/>
      <c r="E1" s="8"/>
      <c r="F1" s="8"/>
      <c r="G1" s="8"/>
      <c r="H1" s="8"/>
    </row>
    <row r="2" customFormat="false" ht="15" hidden="false" customHeight="true" outlineLevel="0" collapsed="false">
      <c r="A2" s="3" t="s">
        <v>132</v>
      </c>
      <c r="B2" s="3" t="s">
        <v>474</v>
      </c>
      <c r="C2" s="3" t="s">
        <v>475</v>
      </c>
      <c r="D2" s="3" t="s">
        <v>476</v>
      </c>
      <c r="E2" s="3" t="s">
        <v>477</v>
      </c>
      <c r="F2" s="3" t="s">
        <v>399</v>
      </c>
      <c r="G2" s="3" t="s">
        <v>478</v>
      </c>
      <c r="H2" s="3" t="s">
        <v>479</v>
      </c>
    </row>
    <row r="3" customFormat="false" ht="15" hidden="false" customHeight="true" outlineLevel="0" collapsed="false">
      <c r="A3" s="10" t="n">
        <v>1</v>
      </c>
      <c r="B3" s="4" t="s">
        <v>480</v>
      </c>
      <c r="C3" s="4" t="s">
        <v>481</v>
      </c>
      <c r="D3" s="33" t="n">
        <v>60</v>
      </c>
      <c r="E3" s="37" t="n">
        <v>0.06</v>
      </c>
      <c r="F3" s="37" t="n">
        <v>1.475</v>
      </c>
      <c r="G3" s="10"/>
      <c r="H3" s="14"/>
    </row>
    <row r="4" customFormat="false" ht="15" hidden="false" customHeight="true" outlineLevel="0" collapsed="false">
      <c r="A4" s="10" t="n">
        <v>2</v>
      </c>
      <c r="B4" s="5" t="s">
        <v>482</v>
      </c>
      <c r="C4" s="5" t="s">
        <v>481</v>
      </c>
      <c r="D4" s="38" t="n">
        <v>270</v>
      </c>
      <c r="E4" s="39" t="n">
        <v>0.33</v>
      </c>
      <c r="F4" s="39" t="n">
        <v>1.475</v>
      </c>
      <c r="G4" s="40"/>
      <c r="H4" s="41"/>
    </row>
    <row r="5" customFormat="false" ht="15" hidden="false" customHeight="true" outlineLevel="0" collapsed="false">
      <c r="A5" s="10" t="n">
        <v>3</v>
      </c>
      <c r="B5" s="4" t="s">
        <v>483</v>
      </c>
      <c r="C5" s="4" t="s">
        <v>481</v>
      </c>
      <c r="D5" s="33" t="n">
        <v>25</v>
      </c>
      <c r="E5" s="37" t="n">
        <v>0.355</v>
      </c>
      <c r="F5" s="37" t="n">
        <v>1.475</v>
      </c>
      <c r="G5" s="10"/>
      <c r="H5" s="14"/>
    </row>
    <row r="6" customFormat="false" ht="15" hidden="false" customHeight="true" outlineLevel="0" collapsed="false">
      <c r="A6" s="10" t="n">
        <v>4</v>
      </c>
      <c r="B6" s="5" t="s">
        <v>484</v>
      </c>
      <c r="C6" s="5" t="s">
        <v>485</v>
      </c>
      <c r="D6" s="38" t="n">
        <v>3960</v>
      </c>
      <c r="E6" s="39" t="n">
        <v>4.315</v>
      </c>
      <c r="F6" s="39" t="n">
        <v>1.504</v>
      </c>
      <c r="G6" s="40"/>
      <c r="H6" s="41"/>
    </row>
    <row r="7" customFormat="false" ht="15" hidden="false" customHeight="true" outlineLevel="0" collapsed="false">
      <c r="A7" s="10" t="n">
        <v>5</v>
      </c>
      <c r="B7" s="4" t="s">
        <v>486</v>
      </c>
      <c r="C7" s="4" t="s">
        <v>487</v>
      </c>
      <c r="D7" s="33" t="n">
        <v>700</v>
      </c>
      <c r="E7" s="37" t="n">
        <v>5.015</v>
      </c>
      <c r="F7" s="37" t="n">
        <v>1.995</v>
      </c>
      <c r="G7" s="10"/>
      <c r="H7" s="14"/>
    </row>
    <row r="8" customFormat="false" ht="15" hidden="false" customHeight="true" outlineLevel="0" collapsed="false">
      <c r="A8" s="10" t="n">
        <v>6</v>
      </c>
      <c r="B8" s="5" t="s">
        <v>488</v>
      </c>
      <c r="C8" s="5" t="s">
        <v>485</v>
      </c>
      <c r="D8" s="38" t="n">
        <v>1320</v>
      </c>
      <c r="E8" s="39" t="n">
        <v>6.335</v>
      </c>
      <c r="F8" s="39" t="n">
        <v>2.244</v>
      </c>
      <c r="G8" s="40"/>
      <c r="H8" s="41"/>
    </row>
    <row r="9" customFormat="false" ht="15" hidden="false" customHeight="true" outlineLevel="0" collapsed="false">
      <c r="A9" s="10" t="n">
        <v>7</v>
      </c>
      <c r="B9" s="4" t="s">
        <v>489</v>
      </c>
      <c r="C9" s="4" t="s">
        <v>490</v>
      </c>
      <c r="D9" s="33" t="n">
        <v>450</v>
      </c>
      <c r="E9" s="37" t="n">
        <v>6.785</v>
      </c>
      <c r="F9" s="37" t="n">
        <v>2.38</v>
      </c>
      <c r="G9" s="10"/>
      <c r="H9" s="14"/>
    </row>
    <row r="10" customFormat="false" ht="15" hidden="false" customHeight="true" outlineLevel="0" collapsed="false">
      <c r="A10" s="10" t="n">
        <v>8</v>
      </c>
      <c r="B10" s="5" t="s">
        <v>491</v>
      </c>
      <c r="C10" s="5" t="s">
        <v>492</v>
      </c>
      <c r="D10" s="38" t="n">
        <v>750</v>
      </c>
      <c r="E10" s="39" t="n">
        <v>7.535</v>
      </c>
      <c r="F10" s="39" t="n">
        <v>2.393</v>
      </c>
      <c r="G10" s="40"/>
      <c r="H10" s="41"/>
    </row>
    <row r="11" customFormat="false" ht="15" hidden="false" customHeight="true" outlineLevel="0" collapsed="false">
      <c r="A11" s="10" t="n">
        <v>9</v>
      </c>
      <c r="B11" s="4" t="s">
        <v>493</v>
      </c>
      <c r="C11" s="4" t="s">
        <v>494</v>
      </c>
      <c r="D11" s="33" t="n">
        <v>2000</v>
      </c>
      <c r="E11" s="37" t="n">
        <v>9.535</v>
      </c>
      <c r="F11" s="37" t="n">
        <v>2.4</v>
      </c>
      <c r="G11" s="10"/>
      <c r="H11" s="14"/>
    </row>
    <row r="12" customFormat="false" ht="15" hidden="false" customHeight="true" outlineLevel="0" collapsed="false">
      <c r="A12" s="10" t="n">
        <v>10</v>
      </c>
      <c r="B12" s="5" t="s">
        <v>495</v>
      </c>
      <c r="C12" s="5" t="s">
        <v>496</v>
      </c>
      <c r="D12" s="38" t="n">
        <v>250</v>
      </c>
      <c r="E12" s="39" t="n">
        <v>9.785</v>
      </c>
      <c r="F12" s="39" t="n">
        <v>2.589</v>
      </c>
      <c r="G12" s="40"/>
      <c r="H12" s="41"/>
    </row>
    <row r="13" customFormat="false" ht="15" hidden="false" customHeight="true" outlineLevel="0" collapsed="false">
      <c r="A13" s="10" t="n">
        <v>11</v>
      </c>
      <c r="B13" s="4" t="s">
        <v>497</v>
      </c>
      <c r="C13" s="4" t="s">
        <v>481</v>
      </c>
      <c r="D13" s="33" t="n">
        <v>2600</v>
      </c>
      <c r="E13" s="37" t="n">
        <v>12.385</v>
      </c>
      <c r="F13" s="37" t="n">
        <v>2.608</v>
      </c>
      <c r="G13" s="10"/>
      <c r="H13" s="14"/>
    </row>
    <row r="14" customFormat="false" ht="15" hidden="false" customHeight="true" outlineLevel="0" collapsed="false">
      <c r="A14" s="10" t="n">
        <v>12</v>
      </c>
      <c r="B14" s="5" t="s">
        <v>498</v>
      </c>
      <c r="C14" s="5" t="s">
        <v>487</v>
      </c>
      <c r="D14" s="38" t="n">
        <v>3000</v>
      </c>
      <c r="E14" s="39" t="n">
        <v>15.385</v>
      </c>
      <c r="F14" s="39" t="n">
        <v>2.762</v>
      </c>
      <c r="G14" s="40"/>
      <c r="H14" s="41"/>
    </row>
    <row r="15" customFormat="false" ht="15" hidden="false" customHeight="true" outlineLevel="0" collapsed="false">
      <c r="A15" s="10" t="n">
        <v>13</v>
      </c>
      <c r="B15" s="4" t="s">
        <v>499</v>
      </c>
      <c r="C15" s="4" t="s">
        <v>487</v>
      </c>
      <c r="D15" s="33" t="n">
        <v>600</v>
      </c>
      <c r="E15" s="37" t="n">
        <v>15.985</v>
      </c>
      <c r="F15" s="37" t="n">
        <v>2.78</v>
      </c>
      <c r="G15" s="10"/>
      <c r="H15" s="14"/>
    </row>
    <row r="16" customFormat="false" ht="15" hidden="false" customHeight="true" outlineLevel="0" collapsed="false">
      <c r="A16" s="10" t="n">
        <v>14</v>
      </c>
      <c r="B16" s="5" t="s">
        <v>500</v>
      </c>
      <c r="C16" s="5" t="s">
        <v>501</v>
      </c>
      <c r="D16" s="38" t="n">
        <v>1980</v>
      </c>
      <c r="E16" s="39" t="n">
        <v>17.965</v>
      </c>
      <c r="F16" s="39" t="n">
        <v>2.862</v>
      </c>
      <c r="G16" s="40"/>
      <c r="H16" s="41"/>
    </row>
    <row r="17" customFormat="false" ht="15" hidden="false" customHeight="true" outlineLevel="0" collapsed="false">
      <c r="A17" s="10" t="n">
        <v>15</v>
      </c>
      <c r="B17" s="4" t="s">
        <v>502</v>
      </c>
      <c r="C17" s="4" t="s">
        <v>487</v>
      </c>
      <c r="D17" s="33" t="n">
        <v>1600</v>
      </c>
      <c r="E17" s="37" t="n">
        <v>19.565</v>
      </c>
      <c r="F17" s="37" t="n">
        <v>2.871</v>
      </c>
      <c r="G17" s="10"/>
      <c r="H17" s="14"/>
    </row>
    <row r="18" customFormat="false" ht="15" hidden="false" customHeight="true" outlineLevel="0" collapsed="false">
      <c r="A18" s="10" t="n">
        <v>16</v>
      </c>
      <c r="B18" s="5" t="s">
        <v>503</v>
      </c>
      <c r="C18" s="5" t="s">
        <v>481</v>
      </c>
      <c r="D18" s="38" t="n">
        <v>600</v>
      </c>
      <c r="E18" s="39" t="n">
        <v>20.165</v>
      </c>
      <c r="F18" s="39" t="n">
        <v>2.88</v>
      </c>
      <c r="G18" s="40"/>
      <c r="H18" s="41"/>
    </row>
    <row r="19" customFormat="false" ht="15" hidden="false" customHeight="true" outlineLevel="0" collapsed="false">
      <c r="A19" s="10" t="n">
        <v>17</v>
      </c>
      <c r="B19" s="4" t="s">
        <v>504</v>
      </c>
      <c r="C19" s="4" t="s">
        <v>485</v>
      </c>
      <c r="D19" s="33" t="n">
        <v>510</v>
      </c>
      <c r="E19" s="37" t="n">
        <v>20.675</v>
      </c>
      <c r="F19" s="37" t="n">
        <v>2.895</v>
      </c>
      <c r="G19" s="10"/>
      <c r="H19" s="14"/>
    </row>
    <row r="20" customFormat="false" ht="15" hidden="false" customHeight="true" outlineLevel="0" collapsed="false">
      <c r="A20" s="10" t="n">
        <v>18</v>
      </c>
      <c r="B20" s="42" t="s">
        <v>505</v>
      </c>
      <c r="C20" s="43" t="s">
        <v>506</v>
      </c>
      <c r="D20" s="44" t="n">
        <v>250</v>
      </c>
      <c r="E20" s="45" t="n">
        <v>20.925</v>
      </c>
      <c r="F20" s="45" t="n">
        <v>2.909</v>
      </c>
      <c r="G20" s="46" t="s">
        <v>507</v>
      </c>
      <c r="H20" s="47" t="s">
        <v>508</v>
      </c>
    </row>
    <row r="21" customFormat="false" ht="15" hidden="false" customHeight="true" outlineLevel="0" collapsed="false">
      <c r="A21" s="10" t="n">
        <v>19</v>
      </c>
      <c r="B21" s="4" t="s">
        <v>509</v>
      </c>
      <c r="C21" s="4" t="s">
        <v>485</v>
      </c>
      <c r="D21" s="33" t="n">
        <v>1340</v>
      </c>
      <c r="E21" s="37" t="n">
        <v>22.265</v>
      </c>
      <c r="F21" s="37" t="n">
        <v>2.964</v>
      </c>
      <c r="G21" s="10"/>
      <c r="H21" s="14"/>
    </row>
    <row r="22" customFormat="false" ht="15" hidden="false" customHeight="true" outlineLevel="0" collapsed="false">
      <c r="A22" s="10" t="n">
        <v>20</v>
      </c>
      <c r="B22" s="5" t="s">
        <v>510</v>
      </c>
      <c r="C22" s="5" t="s">
        <v>494</v>
      </c>
      <c r="D22" s="38" t="n">
        <v>3000</v>
      </c>
      <c r="E22" s="39" t="n">
        <v>25.265</v>
      </c>
      <c r="F22" s="39" t="n">
        <v>3.011</v>
      </c>
      <c r="G22" s="40"/>
      <c r="H22" s="41"/>
    </row>
    <row r="23" customFormat="false" ht="15" hidden="false" customHeight="true" outlineLevel="0" collapsed="false">
      <c r="A23" s="10" t="n">
        <v>21</v>
      </c>
      <c r="B23" s="4" t="s">
        <v>511</v>
      </c>
      <c r="C23" s="4" t="s">
        <v>487</v>
      </c>
      <c r="D23" s="33" t="n">
        <v>1050</v>
      </c>
      <c r="E23" s="37" t="n">
        <v>26.315</v>
      </c>
      <c r="F23" s="37" t="n">
        <v>3.048</v>
      </c>
      <c r="G23" s="10"/>
      <c r="H23" s="14"/>
    </row>
    <row r="24" customFormat="false" ht="15" hidden="false" customHeight="true" outlineLevel="0" collapsed="false">
      <c r="A24" s="10" t="n">
        <v>22</v>
      </c>
      <c r="B24" s="5" t="s">
        <v>512</v>
      </c>
      <c r="C24" s="5" t="s">
        <v>481</v>
      </c>
      <c r="D24" s="38" t="n">
        <v>2980</v>
      </c>
      <c r="E24" s="39" t="n">
        <v>29.295</v>
      </c>
      <c r="F24" s="39" t="n">
        <v>3.199</v>
      </c>
      <c r="G24" s="40"/>
      <c r="H24" s="41"/>
    </row>
    <row r="25" customFormat="false" ht="21.75" hidden="false" customHeight="true" outlineLevel="0" collapsed="false">
      <c r="A25" s="10" t="n">
        <v>23</v>
      </c>
      <c r="B25" s="4" t="s">
        <v>513</v>
      </c>
      <c r="C25" s="4" t="s">
        <v>492</v>
      </c>
      <c r="D25" s="33" t="n">
        <v>135</v>
      </c>
      <c r="E25" s="37" t="n">
        <v>29.43</v>
      </c>
      <c r="F25" s="37" t="n">
        <v>3.267</v>
      </c>
      <c r="G25" s="10"/>
      <c r="H25" s="14"/>
    </row>
    <row r="26" customFormat="false" ht="15" hidden="false" customHeight="true" outlineLevel="0" collapsed="false">
      <c r="A26" s="10" t="n">
        <v>24</v>
      </c>
      <c r="B26" s="5" t="s">
        <v>514</v>
      </c>
      <c r="C26" s="5" t="s">
        <v>492</v>
      </c>
      <c r="D26" s="38" t="n">
        <v>1050</v>
      </c>
      <c r="E26" s="39" t="n">
        <v>30.48</v>
      </c>
      <c r="F26" s="39" t="n">
        <v>3.352</v>
      </c>
      <c r="G26" s="40"/>
      <c r="H26" s="41"/>
    </row>
    <row r="27" customFormat="false" ht="15" hidden="false" customHeight="true" outlineLevel="0" collapsed="false">
      <c r="A27" s="10" t="n">
        <v>25</v>
      </c>
      <c r="B27" s="4" t="s">
        <v>515</v>
      </c>
      <c r="C27" s="4" t="s">
        <v>481</v>
      </c>
      <c r="D27" s="33" t="n">
        <v>600</v>
      </c>
      <c r="E27" s="37" t="n">
        <v>31.08</v>
      </c>
      <c r="F27" s="37" t="n">
        <v>3.371</v>
      </c>
      <c r="G27" s="10"/>
      <c r="H27" s="14"/>
    </row>
    <row r="28" customFormat="false" ht="15" hidden="false" customHeight="true" outlineLevel="0" collapsed="false">
      <c r="A28" s="10" t="n">
        <v>26</v>
      </c>
      <c r="B28" s="5" t="s">
        <v>516</v>
      </c>
      <c r="C28" s="5" t="s">
        <v>485</v>
      </c>
      <c r="D28" s="38" t="n">
        <v>4760</v>
      </c>
      <c r="E28" s="39" t="n">
        <v>35.84</v>
      </c>
      <c r="F28" s="39" t="n">
        <v>3.406</v>
      </c>
      <c r="G28" s="40"/>
      <c r="H28" s="41"/>
    </row>
    <row r="29" customFormat="false" ht="15" hidden="false" customHeight="true" outlineLevel="0" collapsed="false">
      <c r="A29" s="10" t="n">
        <v>27</v>
      </c>
      <c r="B29" s="4" t="s">
        <v>517</v>
      </c>
      <c r="C29" s="4" t="s">
        <v>492</v>
      </c>
      <c r="D29" s="33" t="n">
        <v>2260</v>
      </c>
      <c r="E29" s="37" t="n">
        <v>38.1</v>
      </c>
      <c r="F29" s="37" t="n">
        <v>3.439</v>
      </c>
      <c r="G29" s="10"/>
      <c r="H29" s="14"/>
    </row>
    <row r="30" customFormat="false" ht="15" hidden="false" customHeight="true" outlineLevel="0" collapsed="false">
      <c r="A30" s="10" t="n">
        <v>28</v>
      </c>
      <c r="B30" s="5" t="s">
        <v>518</v>
      </c>
      <c r="C30" s="5" t="s">
        <v>487</v>
      </c>
      <c r="D30" s="38" t="n">
        <v>1740</v>
      </c>
      <c r="E30" s="39" t="n">
        <v>39.84</v>
      </c>
      <c r="F30" s="39" t="n">
        <v>3.443</v>
      </c>
      <c r="G30" s="40"/>
      <c r="H30" s="41"/>
    </row>
    <row r="31" customFormat="false" ht="15" hidden="false" customHeight="true" outlineLevel="0" collapsed="false">
      <c r="A31" s="10" t="n">
        <v>29</v>
      </c>
      <c r="B31" s="4" t="s">
        <v>519</v>
      </c>
      <c r="C31" s="4" t="s">
        <v>520</v>
      </c>
      <c r="D31" s="33" t="n">
        <v>270</v>
      </c>
      <c r="E31" s="37" t="n">
        <v>40.11</v>
      </c>
      <c r="F31" s="37" t="n">
        <v>3.51</v>
      </c>
      <c r="G31" s="10"/>
      <c r="H31" s="14"/>
    </row>
    <row r="32" customFormat="false" ht="15" hidden="false" customHeight="true" outlineLevel="0" collapsed="false">
      <c r="A32" s="10" t="n">
        <v>30</v>
      </c>
      <c r="B32" s="5" t="s">
        <v>521</v>
      </c>
      <c r="C32" s="5" t="s">
        <v>494</v>
      </c>
      <c r="D32" s="38" t="n">
        <v>1200</v>
      </c>
      <c r="E32" s="39" t="n">
        <v>41.31</v>
      </c>
      <c r="F32" s="39" t="n">
        <v>3.606</v>
      </c>
      <c r="G32" s="40"/>
      <c r="H32" s="41"/>
    </row>
    <row r="33" customFormat="false" ht="15" hidden="false" customHeight="true" outlineLevel="0" collapsed="false">
      <c r="A33" s="10" t="n">
        <v>31</v>
      </c>
      <c r="B33" s="4" t="s">
        <v>522</v>
      </c>
      <c r="C33" s="4" t="s">
        <v>492</v>
      </c>
      <c r="D33" s="33" t="n">
        <v>450</v>
      </c>
      <c r="E33" s="37" t="n">
        <v>41.76</v>
      </c>
      <c r="F33" s="37" t="n">
        <v>3.611</v>
      </c>
      <c r="G33" s="10"/>
      <c r="H33" s="14"/>
    </row>
    <row r="34" customFormat="false" ht="15" hidden="false" customHeight="true" outlineLevel="0" collapsed="false">
      <c r="A34" s="10" t="n">
        <v>32</v>
      </c>
      <c r="B34" s="5" t="s">
        <v>523</v>
      </c>
      <c r="C34" s="5" t="s">
        <v>520</v>
      </c>
      <c r="D34" s="38" t="n">
        <v>1350</v>
      </c>
      <c r="E34" s="39" t="n">
        <v>43.11</v>
      </c>
      <c r="F34" s="39" t="n">
        <v>3.66</v>
      </c>
      <c r="G34" s="40"/>
      <c r="H34" s="41"/>
    </row>
    <row r="35" customFormat="false" ht="15" hidden="false" customHeight="true" outlineLevel="0" collapsed="false">
      <c r="A35" s="10" t="n">
        <v>33</v>
      </c>
      <c r="B35" s="4" t="s">
        <v>524</v>
      </c>
      <c r="C35" s="4" t="s">
        <v>481</v>
      </c>
      <c r="D35" s="33" t="n">
        <v>1000</v>
      </c>
      <c r="E35" s="37" t="n">
        <v>44.11</v>
      </c>
      <c r="F35" s="37" t="n">
        <v>3.737</v>
      </c>
      <c r="G35" s="10"/>
      <c r="H35" s="14"/>
    </row>
    <row r="36" customFormat="false" ht="15" hidden="false" customHeight="true" outlineLevel="0" collapsed="false">
      <c r="A36" s="10" t="n">
        <v>34</v>
      </c>
      <c r="B36" s="5" t="s">
        <v>525</v>
      </c>
      <c r="C36" s="5" t="s">
        <v>501</v>
      </c>
      <c r="D36" s="38" t="n">
        <v>420</v>
      </c>
      <c r="E36" s="39" t="n">
        <v>44.53</v>
      </c>
      <c r="F36" s="39" t="n">
        <v>3.842</v>
      </c>
      <c r="G36" s="40"/>
      <c r="H36" s="41"/>
    </row>
    <row r="37" customFormat="false" ht="15" hidden="false" customHeight="true" outlineLevel="0" collapsed="false">
      <c r="A37" s="10" t="n">
        <v>35</v>
      </c>
      <c r="B37" s="4" t="s">
        <v>526</v>
      </c>
      <c r="C37" s="4" t="s">
        <v>481</v>
      </c>
      <c r="D37" s="33" t="n">
        <v>500</v>
      </c>
      <c r="E37" s="37" t="n">
        <v>45.03</v>
      </c>
      <c r="F37" s="37" t="n">
        <v>3.87</v>
      </c>
      <c r="G37" s="10"/>
      <c r="H37" s="14"/>
    </row>
    <row r="38" customFormat="false" ht="15" hidden="false" customHeight="true" outlineLevel="0" collapsed="false">
      <c r="A38" s="10" t="n">
        <v>36</v>
      </c>
      <c r="B38" s="5" t="s">
        <v>527</v>
      </c>
      <c r="C38" s="5" t="s">
        <v>481</v>
      </c>
      <c r="D38" s="38" t="n">
        <v>1340</v>
      </c>
      <c r="E38" s="39" t="n">
        <v>46.37</v>
      </c>
      <c r="F38" s="39" t="n">
        <v>3.87</v>
      </c>
      <c r="G38" s="40"/>
      <c r="H38" s="41"/>
    </row>
    <row r="39" customFormat="false" ht="15" hidden="false" customHeight="true" outlineLevel="0" collapsed="false">
      <c r="A39" s="10" t="n">
        <v>37</v>
      </c>
      <c r="B39" s="4" t="s">
        <v>528</v>
      </c>
      <c r="C39" s="4" t="s">
        <v>481</v>
      </c>
      <c r="D39" s="33" t="n">
        <v>1000</v>
      </c>
      <c r="E39" s="37" t="n">
        <v>47.37</v>
      </c>
      <c r="F39" s="37" t="n">
        <v>3.87</v>
      </c>
      <c r="G39" s="10"/>
      <c r="H39" s="14"/>
    </row>
    <row r="40" customFormat="false" ht="15" hidden="false" customHeight="true" outlineLevel="0" collapsed="false">
      <c r="A40" s="10" t="n">
        <v>38</v>
      </c>
      <c r="B40" s="5" t="s">
        <v>529</v>
      </c>
      <c r="C40" s="5" t="s">
        <v>494</v>
      </c>
      <c r="D40" s="38" t="n">
        <v>2630</v>
      </c>
      <c r="E40" s="39" t="n">
        <v>50</v>
      </c>
      <c r="F40" s="39" t="n">
        <v>3.877</v>
      </c>
      <c r="G40" s="40"/>
      <c r="H40" s="41"/>
    </row>
    <row r="41" customFormat="false" ht="15" hidden="false" customHeight="true" outlineLevel="0" collapsed="false">
      <c r="A41" s="10" t="n">
        <v>39</v>
      </c>
      <c r="B41" s="4" t="s">
        <v>530</v>
      </c>
      <c r="C41" s="4" t="s">
        <v>531</v>
      </c>
      <c r="D41" s="33" t="n">
        <v>920</v>
      </c>
      <c r="E41" s="37" t="n">
        <v>50.92</v>
      </c>
      <c r="F41" s="37" t="n">
        <v>3.89</v>
      </c>
      <c r="G41" s="10"/>
      <c r="H41" s="14"/>
    </row>
    <row r="42" customFormat="false" ht="15" hidden="false" customHeight="true" outlineLevel="0" collapsed="false">
      <c r="A42" s="10" t="n">
        <v>40</v>
      </c>
      <c r="B42" s="5" t="s">
        <v>532</v>
      </c>
      <c r="C42" s="5" t="s">
        <v>481</v>
      </c>
      <c r="D42" s="38" t="n">
        <v>600</v>
      </c>
      <c r="E42" s="39" t="n">
        <v>51.52</v>
      </c>
      <c r="F42" s="39" t="n">
        <v>3.897</v>
      </c>
      <c r="G42" s="40"/>
      <c r="H42" s="41"/>
    </row>
    <row r="43" customFormat="false" ht="15" hidden="false" customHeight="true" outlineLevel="0" collapsed="false">
      <c r="A43" s="10" t="n">
        <v>41</v>
      </c>
      <c r="B43" s="4" t="s">
        <v>533</v>
      </c>
      <c r="C43" s="4" t="s">
        <v>494</v>
      </c>
      <c r="D43" s="33" t="n">
        <v>1980</v>
      </c>
      <c r="E43" s="37" t="n">
        <v>53.5</v>
      </c>
      <c r="F43" s="37" t="n">
        <v>3.912</v>
      </c>
      <c r="G43" s="10"/>
      <c r="H43" s="14"/>
    </row>
    <row r="44" customFormat="false" ht="15" hidden="false" customHeight="true" outlineLevel="0" collapsed="false">
      <c r="A44" s="10" t="n">
        <v>42</v>
      </c>
      <c r="B44" s="5" t="s">
        <v>534</v>
      </c>
      <c r="C44" s="5" t="s">
        <v>481</v>
      </c>
      <c r="D44" s="38" t="n">
        <v>1600</v>
      </c>
      <c r="E44" s="39" t="n">
        <v>55.1</v>
      </c>
      <c r="F44" s="39" t="n">
        <v>3.935</v>
      </c>
      <c r="G44" s="40"/>
      <c r="H44" s="41"/>
    </row>
    <row r="45" customFormat="false" ht="15" hidden="false" customHeight="true" outlineLevel="0" collapsed="false">
      <c r="A45" s="10" t="n">
        <v>43</v>
      </c>
      <c r="B45" s="4" t="s">
        <v>535</v>
      </c>
      <c r="C45" s="4" t="s">
        <v>481</v>
      </c>
      <c r="D45" s="33" t="n">
        <v>300</v>
      </c>
      <c r="E45" s="37" t="n">
        <v>55.4</v>
      </c>
      <c r="F45" s="37" t="n">
        <v>3.937</v>
      </c>
      <c r="G45" s="10"/>
      <c r="H45" s="14"/>
    </row>
    <row r="46" customFormat="false" ht="15" hidden="false" customHeight="true" outlineLevel="0" collapsed="false">
      <c r="A46" s="10" t="n">
        <v>44</v>
      </c>
      <c r="B46" s="5" t="s">
        <v>536</v>
      </c>
      <c r="C46" s="5" t="s">
        <v>501</v>
      </c>
      <c r="D46" s="38" t="n">
        <v>540</v>
      </c>
      <c r="E46" s="39" t="n">
        <v>55.94</v>
      </c>
      <c r="F46" s="39" t="n">
        <v>3.938</v>
      </c>
      <c r="G46" s="40"/>
      <c r="H46" s="41"/>
    </row>
    <row r="47" customFormat="false" ht="15" hidden="false" customHeight="true" outlineLevel="0" collapsed="false">
      <c r="A47" s="10" t="n">
        <v>45</v>
      </c>
      <c r="B47" s="4" t="s">
        <v>537</v>
      </c>
      <c r="C47" s="4" t="s">
        <v>494</v>
      </c>
      <c r="D47" s="33" t="n">
        <v>2852</v>
      </c>
      <c r="E47" s="37" t="n">
        <v>58.792</v>
      </c>
      <c r="F47" s="37" t="n">
        <v>3.984</v>
      </c>
      <c r="G47" s="10"/>
      <c r="H47" s="14"/>
    </row>
    <row r="48" customFormat="false" ht="15" hidden="false" customHeight="true" outlineLevel="0" collapsed="false">
      <c r="A48" s="10" t="n">
        <v>46</v>
      </c>
      <c r="B48" s="5" t="s">
        <v>538</v>
      </c>
      <c r="C48" s="5" t="s">
        <v>539</v>
      </c>
      <c r="D48" s="38" t="n">
        <v>2340</v>
      </c>
      <c r="E48" s="39" t="n">
        <v>61.132</v>
      </c>
      <c r="F48" s="39" t="n">
        <v>4.052</v>
      </c>
      <c r="G48" s="40"/>
      <c r="H48" s="41"/>
    </row>
    <row r="49" customFormat="false" ht="15" hidden="false" customHeight="true" outlineLevel="0" collapsed="false">
      <c r="A49" s="10" t="n">
        <v>47</v>
      </c>
      <c r="B49" s="4" t="s">
        <v>540</v>
      </c>
      <c r="C49" s="4" t="s">
        <v>520</v>
      </c>
      <c r="D49" s="33" t="n">
        <v>600</v>
      </c>
      <c r="E49" s="37" t="n">
        <v>61.732</v>
      </c>
      <c r="F49" s="37" t="n">
        <v>4.06</v>
      </c>
      <c r="G49" s="10"/>
      <c r="H49" s="14"/>
    </row>
    <row r="50" customFormat="false" ht="15" hidden="false" customHeight="true" outlineLevel="0" collapsed="false">
      <c r="A50" s="10" t="n">
        <v>48</v>
      </c>
      <c r="B50" s="5" t="s">
        <v>541</v>
      </c>
      <c r="C50" s="5" t="s">
        <v>485</v>
      </c>
      <c r="D50" s="38" t="n">
        <v>1642.5</v>
      </c>
      <c r="E50" s="39" t="n">
        <v>63.374</v>
      </c>
      <c r="F50" s="39" t="n">
        <v>4.155</v>
      </c>
      <c r="G50" s="40"/>
      <c r="H50" s="41"/>
    </row>
    <row r="51" customFormat="false" ht="15" hidden="false" customHeight="true" outlineLevel="0" collapsed="false">
      <c r="A51" s="10" t="n">
        <v>49</v>
      </c>
      <c r="B51" s="4" t="s">
        <v>542</v>
      </c>
      <c r="C51" s="4" t="s">
        <v>543</v>
      </c>
      <c r="D51" s="33" t="n">
        <v>1320</v>
      </c>
      <c r="E51" s="37" t="n">
        <v>64.695</v>
      </c>
      <c r="F51" s="37" t="n">
        <v>4.196</v>
      </c>
      <c r="G51" s="10"/>
      <c r="H51" s="14"/>
    </row>
    <row r="52" customFormat="false" ht="15" hidden="false" customHeight="true" outlineLevel="0" collapsed="false">
      <c r="A52" s="10" t="n">
        <v>50</v>
      </c>
      <c r="B52" s="5" t="s">
        <v>544</v>
      </c>
      <c r="C52" s="5" t="s">
        <v>520</v>
      </c>
      <c r="D52" s="38" t="n">
        <v>540</v>
      </c>
      <c r="E52" s="39" t="n">
        <v>65.234</v>
      </c>
      <c r="F52" s="39" t="n">
        <v>4.214</v>
      </c>
      <c r="G52" s="40"/>
      <c r="H52" s="41"/>
    </row>
    <row r="53" customFormat="false" ht="15" hidden="false" customHeight="true" outlineLevel="0" collapsed="false">
      <c r="A53" s="10" t="n">
        <v>51</v>
      </c>
      <c r="B53" s="4" t="s">
        <v>545</v>
      </c>
      <c r="C53" s="4" t="s">
        <v>490</v>
      </c>
      <c r="D53" s="33" t="n">
        <v>1470</v>
      </c>
      <c r="E53" s="37" t="n">
        <v>66.704</v>
      </c>
      <c r="F53" s="37" t="n">
        <v>4.215</v>
      </c>
      <c r="G53" s="10"/>
      <c r="H53" s="14"/>
    </row>
    <row r="54" customFormat="false" ht="15" hidden="false" customHeight="true" outlineLevel="0" collapsed="false">
      <c r="A54" s="10" t="n">
        <v>52</v>
      </c>
      <c r="B54" s="5" t="s">
        <v>546</v>
      </c>
      <c r="C54" s="5" t="s">
        <v>481</v>
      </c>
      <c r="D54" s="38" t="n">
        <v>2400</v>
      </c>
      <c r="E54" s="39" t="n">
        <v>69.105</v>
      </c>
      <c r="F54" s="39" t="n">
        <v>4.228</v>
      </c>
      <c r="G54" s="40"/>
      <c r="H54" s="41"/>
    </row>
    <row r="55" customFormat="false" ht="15" hidden="false" customHeight="true" outlineLevel="0" collapsed="false">
      <c r="A55" s="10" t="n">
        <v>53</v>
      </c>
      <c r="B55" s="4" t="s">
        <v>547</v>
      </c>
      <c r="C55" s="4" t="s">
        <v>501</v>
      </c>
      <c r="D55" s="33" t="n">
        <v>1050</v>
      </c>
      <c r="E55" s="37" t="n">
        <v>70.154</v>
      </c>
      <c r="F55" s="37" t="n">
        <v>4.229</v>
      </c>
      <c r="G55" s="10"/>
      <c r="H55" s="14"/>
    </row>
    <row r="56" customFormat="false" ht="15" hidden="false" customHeight="true" outlineLevel="0" collapsed="false">
      <c r="A56" s="10" t="n">
        <v>54</v>
      </c>
      <c r="B56" s="5" t="s">
        <v>548</v>
      </c>
      <c r="C56" s="5" t="s">
        <v>481</v>
      </c>
      <c r="D56" s="38" t="n">
        <v>500</v>
      </c>
      <c r="E56" s="39" t="n">
        <v>70.654</v>
      </c>
      <c r="F56" s="39" t="n">
        <v>4.255</v>
      </c>
      <c r="G56" s="40"/>
      <c r="H56" s="41"/>
    </row>
    <row r="57" customFormat="false" ht="15" hidden="false" customHeight="true" outlineLevel="0" collapsed="false">
      <c r="A57" s="10" t="n">
        <v>55</v>
      </c>
      <c r="B57" s="4" t="s">
        <v>549</v>
      </c>
      <c r="C57" s="4" t="s">
        <v>481</v>
      </c>
      <c r="D57" s="33" t="n">
        <v>1200</v>
      </c>
      <c r="E57" s="37" t="n">
        <v>71.855</v>
      </c>
      <c r="F57" s="37" t="n">
        <v>4.259</v>
      </c>
      <c r="G57" s="10"/>
      <c r="H57" s="14"/>
    </row>
    <row r="58" customFormat="false" ht="15" hidden="false" customHeight="true" outlineLevel="0" collapsed="false">
      <c r="A58" s="10" t="n">
        <v>56</v>
      </c>
      <c r="B58" s="5" t="s">
        <v>550</v>
      </c>
      <c r="C58" s="5" t="s">
        <v>531</v>
      </c>
      <c r="D58" s="38" t="n">
        <v>1260</v>
      </c>
      <c r="E58" s="39" t="n">
        <v>73.115</v>
      </c>
      <c r="F58" s="39" t="n">
        <v>4.27</v>
      </c>
      <c r="G58" s="40"/>
      <c r="H58" s="41"/>
    </row>
    <row r="59" customFormat="false" ht="15" hidden="false" customHeight="true" outlineLevel="0" collapsed="false">
      <c r="A59" s="10" t="n">
        <v>57</v>
      </c>
      <c r="B59" s="42" t="s">
        <v>551</v>
      </c>
      <c r="C59" s="43" t="s">
        <v>506</v>
      </c>
      <c r="D59" s="44" t="n">
        <v>500</v>
      </c>
      <c r="E59" s="45" t="n">
        <v>73.615</v>
      </c>
      <c r="F59" s="45" t="n">
        <v>4.27</v>
      </c>
      <c r="G59" s="46" t="s">
        <v>507</v>
      </c>
      <c r="H59" s="47" t="s">
        <v>508</v>
      </c>
    </row>
    <row r="60" customFormat="false" ht="15" hidden="false" customHeight="true" outlineLevel="0" collapsed="false">
      <c r="A60" s="10" t="n">
        <v>58</v>
      </c>
      <c r="B60" s="5" t="s">
        <v>552</v>
      </c>
      <c r="C60" s="5" t="s">
        <v>492</v>
      </c>
      <c r="D60" s="38" t="n">
        <v>1260</v>
      </c>
      <c r="E60" s="39" t="n">
        <v>74.874</v>
      </c>
      <c r="F60" s="39" t="n">
        <v>4.287</v>
      </c>
      <c r="G60" s="40"/>
      <c r="H60" s="41"/>
    </row>
    <row r="61" customFormat="false" ht="15" hidden="false" customHeight="true" outlineLevel="0" collapsed="false">
      <c r="A61" s="10" t="n">
        <v>59</v>
      </c>
      <c r="B61" s="4" t="s">
        <v>553</v>
      </c>
      <c r="C61" s="4" t="s">
        <v>496</v>
      </c>
      <c r="D61" s="33" t="n">
        <v>2320</v>
      </c>
      <c r="E61" s="37" t="n">
        <v>77.195</v>
      </c>
      <c r="F61" s="37" t="n">
        <v>4.307</v>
      </c>
      <c r="G61" s="10"/>
      <c r="H61" s="14"/>
    </row>
    <row r="62" customFormat="false" ht="15" hidden="false" customHeight="true" outlineLevel="0" collapsed="false">
      <c r="A62" s="10" t="n">
        <v>60</v>
      </c>
      <c r="B62" s="5" t="s">
        <v>554</v>
      </c>
      <c r="C62" s="5" t="s">
        <v>481</v>
      </c>
      <c r="D62" s="38" t="n">
        <v>600</v>
      </c>
      <c r="E62" s="39" t="n">
        <v>77.794</v>
      </c>
      <c r="F62" s="39" t="n">
        <v>4.309</v>
      </c>
      <c r="G62" s="40"/>
      <c r="H62" s="41"/>
    </row>
    <row r="63" customFormat="false" ht="15" hidden="false" customHeight="true" outlineLevel="0" collapsed="false">
      <c r="A63" s="10" t="n">
        <v>61</v>
      </c>
      <c r="B63" s="4" t="s">
        <v>555</v>
      </c>
      <c r="C63" s="4" t="s">
        <v>481</v>
      </c>
      <c r="D63" s="33" t="n">
        <v>1440</v>
      </c>
      <c r="E63" s="37" t="n">
        <v>79.234</v>
      </c>
      <c r="F63" s="37" t="n">
        <v>4.33</v>
      </c>
      <c r="G63" s="10"/>
      <c r="H63" s="14"/>
    </row>
    <row r="64" customFormat="false" ht="15" hidden="false" customHeight="true" outlineLevel="0" collapsed="false">
      <c r="A64" s="10" t="n">
        <v>62</v>
      </c>
      <c r="B64" s="5" t="s">
        <v>556</v>
      </c>
      <c r="C64" s="5" t="s">
        <v>492</v>
      </c>
      <c r="D64" s="38" t="n">
        <v>600</v>
      </c>
      <c r="E64" s="39" t="n">
        <v>79.835</v>
      </c>
      <c r="F64" s="39" t="n">
        <v>4.341</v>
      </c>
      <c r="G64" s="40"/>
      <c r="H64" s="41"/>
    </row>
    <row r="65" customFormat="false" ht="15" hidden="false" customHeight="true" outlineLevel="0" collapsed="false">
      <c r="A65" s="10" t="n">
        <v>63</v>
      </c>
      <c r="B65" s="4" t="s">
        <v>557</v>
      </c>
      <c r="C65" s="4" t="s">
        <v>492</v>
      </c>
      <c r="D65" s="33" t="n">
        <v>980</v>
      </c>
      <c r="E65" s="37" t="n">
        <v>80.814</v>
      </c>
      <c r="F65" s="37" t="n">
        <v>4.349</v>
      </c>
      <c r="G65" s="10"/>
      <c r="H65" s="14"/>
    </row>
    <row r="66" customFormat="false" ht="15" hidden="false" customHeight="true" outlineLevel="0" collapsed="false">
      <c r="A66" s="10" t="n">
        <v>64</v>
      </c>
      <c r="B66" s="5" t="s">
        <v>558</v>
      </c>
      <c r="C66" s="5" t="s">
        <v>481</v>
      </c>
      <c r="D66" s="38" t="n">
        <v>600</v>
      </c>
      <c r="E66" s="39" t="n">
        <v>81.415</v>
      </c>
      <c r="F66" s="39" t="n">
        <v>4.358</v>
      </c>
      <c r="G66" s="40"/>
      <c r="H66" s="41"/>
    </row>
    <row r="67" customFormat="false" ht="15" hidden="false" customHeight="true" outlineLevel="0" collapsed="false">
      <c r="A67" s="10" t="n">
        <v>65</v>
      </c>
      <c r="B67" s="4" t="s">
        <v>559</v>
      </c>
      <c r="C67" s="4" t="s">
        <v>496</v>
      </c>
      <c r="D67" s="33" t="n">
        <v>1240</v>
      </c>
      <c r="E67" s="37" t="n">
        <v>82.654</v>
      </c>
      <c r="F67" s="37" t="n">
        <v>4.479</v>
      </c>
      <c r="G67" s="10"/>
      <c r="H67" s="14"/>
    </row>
    <row r="68" customFormat="false" ht="15" hidden="false" customHeight="true" outlineLevel="0" collapsed="false">
      <c r="A68" s="10" t="n">
        <v>66</v>
      </c>
      <c r="B68" s="5" t="s">
        <v>560</v>
      </c>
      <c r="C68" s="5" t="s">
        <v>485</v>
      </c>
      <c r="D68" s="38" t="n">
        <v>600</v>
      </c>
      <c r="E68" s="39" t="n">
        <v>83.254</v>
      </c>
      <c r="F68" s="39" t="n">
        <v>4.48</v>
      </c>
      <c r="G68" s="40"/>
      <c r="H68" s="41"/>
    </row>
    <row r="69" customFormat="false" ht="15" hidden="false" customHeight="true" outlineLevel="0" collapsed="false">
      <c r="A69" s="10" t="n">
        <v>67</v>
      </c>
      <c r="B69" s="4" t="s">
        <v>561</v>
      </c>
      <c r="C69" s="4" t="s">
        <v>494</v>
      </c>
      <c r="D69" s="33" t="n">
        <v>1320</v>
      </c>
      <c r="E69" s="37" t="n">
        <v>84.575</v>
      </c>
      <c r="F69" s="37" t="n">
        <v>4.49</v>
      </c>
      <c r="G69" s="10"/>
      <c r="H69" s="14"/>
    </row>
    <row r="70" customFormat="false" ht="15" hidden="false" customHeight="true" outlineLevel="0" collapsed="false">
      <c r="A70" s="10" t="n">
        <v>68</v>
      </c>
      <c r="B70" s="5" t="s">
        <v>562</v>
      </c>
      <c r="C70" s="5" t="s">
        <v>492</v>
      </c>
      <c r="D70" s="38" t="n">
        <v>940</v>
      </c>
      <c r="E70" s="39" t="n">
        <v>85.514</v>
      </c>
      <c r="F70" s="39" t="n">
        <v>4.516</v>
      </c>
      <c r="G70" s="40"/>
      <c r="H70" s="41"/>
    </row>
    <row r="71" customFormat="false" ht="15" hidden="false" customHeight="true" outlineLevel="0" collapsed="false">
      <c r="A71" s="10" t="n">
        <v>69</v>
      </c>
      <c r="B71" s="4" t="s">
        <v>563</v>
      </c>
      <c r="C71" s="4" t="s">
        <v>494</v>
      </c>
      <c r="D71" s="33" t="n">
        <v>902</v>
      </c>
      <c r="E71" s="37" t="n">
        <v>86.416</v>
      </c>
      <c r="F71" s="37" t="n">
        <v>4.531</v>
      </c>
      <c r="G71" s="10"/>
      <c r="H71" s="14"/>
    </row>
    <row r="72" customFormat="false" ht="15" hidden="false" customHeight="true" outlineLevel="0" collapsed="false">
      <c r="A72" s="10" t="n">
        <v>70</v>
      </c>
      <c r="B72" s="5" t="s">
        <v>564</v>
      </c>
      <c r="C72" s="5" t="s">
        <v>539</v>
      </c>
      <c r="D72" s="38" t="n">
        <v>600</v>
      </c>
      <c r="E72" s="39" t="n">
        <v>87.016</v>
      </c>
      <c r="F72" s="39" t="n">
        <v>4.673</v>
      </c>
      <c r="G72" s="40"/>
      <c r="H72" s="41"/>
    </row>
    <row r="73" customFormat="false" ht="15" hidden="false" customHeight="true" outlineLevel="0" collapsed="false">
      <c r="A73" s="10" t="n">
        <v>71</v>
      </c>
      <c r="B73" s="4" t="s">
        <v>565</v>
      </c>
      <c r="C73" s="4" t="s">
        <v>496</v>
      </c>
      <c r="D73" s="33" t="n">
        <v>1200</v>
      </c>
      <c r="E73" s="37" t="n">
        <v>88.216</v>
      </c>
      <c r="F73" s="37" t="n">
        <v>4.688</v>
      </c>
      <c r="G73" s="10"/>
      <c r="H73" s="14"/>
    </row>
    <row r="74" customFormat="false" ht="15" hidden="false" customHeight="true" outlineLevel="0" collapsed="false">
      <c r="A74" s="10" t="n">
        <v>72</v>
      </c>
      <c r="B74" s="5" t="s">
        <v>566</v>
      </c>
      <c r="C74" s="5" t="s">
        <v>531</v>
      </c>
      <c r="D74" s="38" t="n">
        <v>1400</v>
      </c>
      <c r="E74" s="39" t="n">
        <v>89.617</v>
      </c>
      <c r="F74" s="39" t="n">
        <v>4.688</v>
      </c>
      <c r="G74" s="40"/>
      <c r="H74" s="41"/>
    </row>
    <row r="75" customFormat="false" ht="15" hidden="false" customHeight="true" outlineLevel="0" collapsed="false">
      <c r="A75" s="10" t="n">
        <v>73</v>
      </c>
      <c r="B75" s="4" t="s">
        <v>567</v>
      </c>
      <c r="C75" s="4" t="s">
        <v>485</v>
      </c>
      <c r="D75" s="33" t="n">
        <v>2520</v>
      </c>
      <c r="E75" s="37" t="n">
        <v>92.136</v>
      </c>
      <c r="F75" s="37" t="n">
        <v>4.691</v>
      </c>
      <c r="G75" s="10"/>
      <c r="H75" s="14"/>
    </row>
    <row r="76" customFormat="false" ht="15" hidden="false" customHeight="true" outlineLevel="0" collapsed="false">
      <c r="A76" s="10" t="n">
        <v>74</v>
      </c>
      <c r="B76" s="5" t="s">
        <v>568</v>
      </c>
      <c r="C76" s="5" t="s">
        <v>496</v>
      </c>
      <c r="D76" s="38" t="n">
        <v>1080</v>
      </c>
      <c r="E76" s="39" t="n">
        <v>93.216</v>
      </c>
      <c r="F76" s="39" t="n">
        <v>4.708</v>
      </c>
      <c r="G76" s="40"/>
      <c r="H76" s="41"/>
    </row>
    <row r="77" customFormat="false" ht="15" hidden="false" customHeight="true" outlineLevel="0" collapsed="false">
      <c r="A77" s="10" t="n">
        <v>75</v>
      </c>
      <c r="B77" s="4" t="s">
        <v>569</v>
      </c>
      <c r="C77" s="4" t="s">
        <v>543</v>
      </c>
      <c r="D77" s="33" t="n">
        <v>1040</v>
      </c>
      <c r="E77" s="37" t="n">
        <v>94.257</v>
      </c>
      <c r="F77" s="37" t="n">
        <v>4.73</v>
      </c>
      <c r="G77" s="10"/>
      <c r="H77" s="14"/>
    </row>
    <row r="78" customFormat="false" ht="15" hidden="false" customHeight="true" outlineLevel="0" collapsed="false">
      <c r="A78" s="10" t="n">
        <v>76</v>
      </c>
      <c r="B78" s="5" t="s">
        <v>570</v>
      </c>
      <c r="C78" s="5" t="s">
        <v>520</v>
      </c>
      <c r="D78" s="38" t="n">
        <v>600</v>
      </c>
      <c r="E78" s="39" t="n">
        <v>94.856</v>
      </c>
      <c r="F78" s="39" t="n">
        <v>4.738</v>
      </c>
      <c r="G78" s="40"/>
      <c r="H78" s="41"/>
    </row>
    <row r="79" customFormat="false" ht="15" hidden="false" customHeight="true" outlineLevel="0" collapsed="false">
      <c r="A79" s="10" t="n">
        <v>77</v>
      </c>
      <c r="B79" s="4" t="s">
        <v>571</v>
      </c>
      <c r="C79" s="4" t="s">
        <v>520</v>
      </c>
      <c r="D79" s="33" t="n">
        <v>1340</v>
      </c>
      <c r="E79" s="37" t="n">
        <v>96.197</v>
      </c>
      <c r="F79" s="37" t="n">
        <v>4.81</v>
      </c>
      <c r="G79" s="10"/>
      <c r="H79" s="14"/>
    </row>
    <row r="80" customFormat="false" ht="15" hidden="false" customHeight="true" outlineLevel="0" collapsed="false">
      <c r="A80" s="10" t="n">
        <v>78</v>
      </c>
      <c r="B80" s="5" t="s">
        <v>572</v>
      </c>
      <c r="C80" s="5" t="s">
        <v>573</v>
      </c>
      <c r="D80" s="38" t="n">
        <v>2600</v>
      </c>
      <c r="E80" s="39" t="n">
        <v>98.796</v>
      </c>
      <c r="F80" s="39" t="n">
        <v>4.877</v>
      </c>
      <c r="G80" s="40"/>
      <c r="H80" s="41"/>
    </row>
    <row r="81" customFormat="false" ht="15" hidden="false" customHeight="true" outlineLevel="0" collapsed="false">
      <c r="A81" s="10" t="n">
        <v>79</v>
      </c>
      <c r="B81" s="4" t="s">
        <v>574</v>
      </c>
      <c r="C81" s="4" t="s">
        <v>573</v>
      </c>
      <c r="D81" s="33" t="n">
        <v>1100</v>
      </c>
      <c r="E81" s="37" t="n">
        <v>99.897</v>
      </c>
      <c r="F81" s="37" t="n">
        <v>4.888</v>
      </c>
      <c r="G81" s="10"/>
      <c r="H81" s="14"/>
    </row>
    <row r="82" customFormat="false" ht="15" hidden="false" customHeight="true" outlineLevel="0" collapsed="false">
      <c r="A82" s="10" t="n">
        <v>80</v>
      </c>
      <c r="B82" s="5" t="s">
        <v>575</v>
      </c>
      <c r="C82" s="5" t="s">
        <v>543</v>
      </c>
      <c r="D82" s="38" t="n">
        <v>2400</v>
      </c>
      <c r="E82" s="39" t="n">
        <v>102.296</v>
      </c>
      <c r="F82" s="39" t="n">
        <v>4.9</v>
      </c>
      <c r="G82" s="40"/>
      <c r="H82" s="41"/>
    </row>
    <row r="83" customFormat="false" ht="15" hidden="false" customHeight="true" outlineLevel="0" collapsed="false">
      <c r="A83" s="10" t="n">
        <v>81</v>
      </c>
      <c r="B83" s="4" t="s">
        <v>576</v>
      </c>
      <c r="C83" s="4" t="s">
        <v>485</v>
      </c>
      <c r="D83" s="33" t="n">
        <v>1250</v>
      </c>
      <c r="E83" s="37" t="n">
        <v>103.546</v>
      </c>
      <c r="F83" s="37" t="n">
        <v>4.944</v>
      </c>
      <c r="G83" s="10"/>
      <c r="H83" s="14"/>
    </row>
    <row r="84" customFormat="false" ht="15" hidden="false" customHeight="true" outlineLevel="0" collapsed="false">
      <c r="A84" s="10" t="n">
        <v>82</v>
      </c>
      <c r="B84" s="42" t="s">
        <v>577</v>
      </c>
      <c r="C84" s="43" t="s">
        <v>506</v>
      </c>
      <c r="D84" s="44" t="n">
        <v>4620</v>
      </c>
      <c r="E84" s="45" t="n">
        <v>108.166</v>
      </c>
      <c r="F84" s="45" t="n">
        <v>4.965</v>
      </c>
      <c r="G84" s="46" t="s">
        <v>507</v>
      </c>
      <c r="H84" s="47" t="s">
        <v>508</v>
      </c>
    </row>
    <row r="85" customFormat="false" ht="15" hidden="false" customHeight="true" outlineLevel="0" collapsed="false">
      <c r="A85" s="10" t="n">
        <v>83</v>
      </c>
      <c r="B85" s="42" t="s">
        <v>578</v>
      </c>
      <c r="C85" s="43" t="s">
        <v>506</v>
      </c>
      <c r="D85" s="44" t="n">
        <v>1200</v>
      </c>
      <c r="E85" s="45" t="n">
        <v>109.367</v>
      </c>
      <c r="F85" s="45" t="n">
        <v>4.976</v>
      </c>
      <c r="G85" s="46" t="s">
        <v>507</v>
      </c>
      <c r="H85" s="47" t="s">
        <v>508</v>
      </c>
    </row>
    <row r="86" customFormat="false" ht="15" hidden="false" customHeight="true" outlineLevel="0" collapsed="false">
      <c r="A86" s="10" t="n">
        <v>84</v>
      </c>
      <c r="B86" s="5" t="s">
        <v>579</v>
      </c>
      <c r="C86" s="5" t="s">
        <v>501</v>
      </c>
      <c r="D86" s="38" t="n">
        <v>1000</v>
      </c>
      <c r="E86" s="39" t="n">
        <v>110.367</v>
      </c>
      <c r="F86" s="39" t="n">
        <v>4.988</v>
      </c>
      <c r="G86" s="40"/>
      <c r="H86" s="41"/>
    </row>
    <row r="87" customFormat="false" ht="15" hidden="false" customHeight="true" outlineLevel="0" collapsed="false">
      <c r="A87" s="10" t="n">
        <v>85</v>
      </c>
      <c r="B87" s="4" t="s">
        <v>580</v>
      </c>
      <c r="C87" s="4" t="s">
        <v>531</v>
      </c>
      <c r="D87" s="33" t="n">
        <v>1980</v>
      </c>
      <c r="E87" s="37" t="n">
        <v>112.347</v>
      </c>
      <c r="F87" s="37" t="n">
        <v>4.989</v>
      </c>
      <c r="G87" s="10"/>
      <c r="H87" s="14"/>
    </row>
    <row r="88" customFormat="false" ht="15" hidden="false" customHeight="true" outlineLevel="0" collapsed="false">
      <c r="A88" s="10" t="n">
        <v>86</v>
      </c>
      <c r="B88" s="42" t="s">
        <v>581</v>
      </c>
      <c r="C88" s="43" t="s">
        <v>506</v>
      </c>
      <c r="D88" s="44" t="n">
        <v>1350</v>
      </c>
      <c r="E88" s="45" t="n">
        <v>113.697</v>
      </c>
      <c r="F88" s="45" t="n">
        <v>4.999</v>
      </c>
      <c r="G88" s="46" t="s">
        <v>507</v>
      </c>
      <c r="H88" s="47" t="s">
        <v>508</v>
      </c>
    </row>
    <row r="89" customFormat="false" ht="15" hidden="false" customHeight="true" outlineLevel="0" collapsed="false">
      <c r="A89" s="10" t="n">
        <v>87</v>
      </c>
      <c r="B89" s="4" t="s">
        <v>582</v>
      </c>
      <c r="C89" s="4" t="s">
        <v>539</v>
      </c>
      <c r="D89" s="33" t="n">
        <v>610</v>
      </c>
      <c r="E89" s="37" t="n">
        <v>114.306</v>
      </c>
      <c r="F89" s="37" t="n">
        <v>5.001</v>
      </c>
      <c r="G89" s="10"/>
      <c r="H89" s="14"/>
    </row>
    <row r="90" customFormat="false" ht="15" hidden="false" customHeight="true" outlineLevel="0" collapsed="false">
      <c r="A90" s="10" t="n">
        <v>88</v>
      </c>
      <c r="B90" s="5" t="s">
        <v>583</v>
      </c>
      <c r="C90" s="5" t="s">
        <v>496</v>
      </c>
      <c r="D90" s="38" t="n">
        <v>1320</v>
      </c>
      <c r="E90" s="39" t="n">
        <v>115.626</v>
      </c>
      <c r="F90" s="39" t="n">
        <v>5.003</v>
      </c>
      <c r="G90" s="40"/>
      <c r="H90" s="41"/>
    </row>
    <row r="91" customFormat="false" ht="15" hidden="false" customHeight="true" outlineLevel="0" collapsed="false">
      <c r="A91" s="10" t="n">
        <v>89</v>
      </c>
      <c r="B91" s="4" t="s">
        <v>584</v>
      </c>
      <c r="C91" s="4" t="s">
        <v>520</v>
      </c>
      <c r="D91" s="33" t="n">
        <v>3020</v>
      </c>
      <c r="E91" s="37" t="n">
        <v>118.647</v>
      </c>
      <c r="F91" s="37" t="n">
        <v>5.03</v>
      </c>
      <c r="G91" s="10"/>
      <c r="H91" s="14"/>
    </row>
    <row r="92" customFormat="false" ht="15" hidden="false" customHeight="true" outlineLevel="0" collapsed="false">
      <c r="A92" s="10" t="n">
        <v>90</v>
      </c>
      <c r="B92" s="5" t="s">
        <v>585</v>
      </c>
      <c r="C92" s="5" t="s">
        <v>492</v>
      </c>
      <c r="D92" s="38" t="n">
        <v>2340</v>
      </c>
      <c r="E92" s="39" t="n">
        <v>120.987</v>
      </c>
      <c r="F92" s="39" t="n">
        <v>5.048</v>
      </c>
      <c r="G92" s="40"/>
      <c r="H92" s="41"/>
    </row>
    <row r="93" customFormat="false" ht="15" hidden="false" customHeight="true" outlineLevel="0" collapsed="false">
      <c r="A93" s="10" t="n">
        <v>91</v>
      </c>
      <c r="B93" s="4" t="s">
        <v>586</v>
      </c>
      <c r="C93" s="4" t="s">
        <v>492</v>
      </c>
      <c r="D93" s="33" t="n">
        <v>1000</v>
      </c>
      <c r="E93" s="37" t="n">
        <v>121.987</v>
      </c>
      <c r="F93" s="37" t="n">
        <v>5.075</v>
      </c>
      <c r="G93" s="10"/>
      <c r="H93" s="14"/>
    </row>
    <row r="94" customFormat="false" ht="15" hidden="false" customHeight="true" outlineLevel="0" collapsed="false">
      <c r="A94" s="10" t="n">
        <v>92</v>
      </c>
      <c r="B94" s="5" t="s">
        <v>587</v>
      </c>
      <c r="C94" s="5" t="s">
        <v>494</v>
      </c>
      <c r="D94" s="38" t="n">
        <v>1760</v>
      </c>
      <c r="E94" s="39" t="n">
        <v>123.746</v>
      </c>
      <c r="F94" s="39" t="n">
        <v>5.099</v>
      </c>
      <c r="G94" s="40"/>
      <c r="H94" s="41"/>
    </row>
    <row r="95" customFormat="false" ht="15" hidden="false" customHeight="true" outlineLevel="0" collapsed="false">
      <c r="A95" s="10" t="n">
        <v>93</v>
      </c>
      <c r="B95" s="4" t="s">
        <v>588</v>
      </c>
      <c r="C95" s="4" t="s">
        <v>520</v>
      </c>
      <c r="D95" s="33" t="n">
        <v>300</v>
      </c>
      <c r="E95" s="37" t="n">
        <v>124.046</v>
      </c>
      <c r="F95" s="37" t="n">
        <v>5.11</v>
      </c>
      <c r="G95" s="10"/>
      <c r="H95" s="14"/>
    </row>
    <row r="96" customFormat="false" ht="15" hidden="false" customHeight="true" outlineLevel="0" collapsed="false">
      <c r="A96" s="10" t="n">
        <v>94</v>
      </c>
      <c r="B96" s="5" t="s">
        <v>589</v>
      </c>
      <c r="C96" s="5" t="s">
        <v>590</v>
      </c>
      <c r="D96" s="38" t="n">
        <v>600</v>
      </c>
      <c r="E96" s="39" t="n">
        <v>124.647</v>
      </c>
      <c r="F96" s="39" t="n">
        <v>5.159</v>
      </c>
      <c r="G96" s="40"/>
      <c r="H96" s="41"/>
    </row>
    <row r="97" customFormat="false" ht="15" hidden="false" customHeight="true" outlineLevel="0" collapsed="false">
      <c r="A97" s="10" t="n">
        <v>95</v>
      </c>
      <c r="B97" s="42" t="s">
        <v>591</v>
      </c>
      <c r="C97" s="43" t="s">
        <v>506</v>
      </c>
      <c r="D97" s="44" t="n">
        <v>362</v>
      </c>
      <c r="E97" s="45" t="n">
        <v>125.008</v>
      </c>
      <c r="F97" s="45" t="n">
        <v>5.173</v>
      </c>
      <c r="G97" s="46" t="s">
        <v>507</v>
      </c>
      <c r="H97" s="47" t="s">
        <v>508</v>
      </c>
    </row>
    <row r="98" customFormat="false" ht="15" hidden="false" customHeight="true" outlineLevel="0" collapsed="false">
      <c r="A98" s="10" t="n">
        <v>96</v>
      </c>
      <c r="B98" s="5" t="s">
        <v>592</v>
      </c>
      <c r="C98" s="5" t="s">
        <v>573</v>
      </c>
      <c r="D98" s="38" t="n">
        <v>2400</v>
      </c>
      <c r="E98" s="39" t="n">
        <v>127.409</v>
      </c>
      <c r="F98" s="39" t="n">
        <v>5.191</v>
      </c>
      <c r="G98" s="40"/>
      <c r="H98" s="41"/>
    </row>
    <row r="99" customFormat="false" ht="15" hidden="false" customHeight="true" outlineLevel="0" collapsed="false">
      <c r="A99" s="10" t="n">
        <v>97</v>
      </c>
      <c r="B99" s="4" t="s">
        <v>593</v>
      </c>
      <c r="C99" s="4" t="s">
        <v>501</v>
      </c>
      <c r="D99" s="33" t="n">
        <v>890</v>
      </c>
      <c r="E99" s="37" t="n">
        <v>128.298</v>
      </c>
      <c r="F99" s="37" t="n">
        <v>5.193</v>
      </c>
      <c r="G99" s="10"/>
      <c r="H99" s="14"/>
    </row>
    <row r="100" customFormat="false" ht="15" hidden="false" customHeight="true" outlineLevel="0" collapsed="false">
      <c r="A100" s="10" t="n">
        <v>98</v>
      </c>
      <c r="B100" s="5" t="s">
        <v>594</v>
      </c>
      <c r="C100" s="5" t="s">
        <v>543</v>
      </c>
      <c r="D100" s="38" t="n">
        <v>2000</v>
      </c>
      <c r="E100" s="39" t="n">
        <v>130.298</v>
      </c>
      <c r="F100" s="39" t="n">
        <v>5.22</v>
      </c>
      <c r="G100" s="40"/>
      <c r="H100" s="41"/>
    </row>
    <row r="101" customFormat="false" ht="15" hidden="false" customHeight="true" outlineLevel="0" collapsed="false">
      <c r="A101" s="10" t="n">
        <v>99</v>
      </c>
      <c r="B101" s="4" t="s">
        <v>595</v>
      </c>
      <c r="C101" s="4" t="s">
        <v>531</v>
      </c>
      <c r="D101" s="33" t="n">
        <v>540</v>
      </c>
      <c r="E101" s="37" t="n">
        <v>130.839</v>
      </c>
      <c r="F101" s="37" t="n">
        <v>5.266</v>
      </c>
      <c r="G101" s="10"/>
      <c r="H101" s="14"/>
    </row>
    <row r="102" customFormat="false" ht="15" hidden="false" customHeight="true" outlineLevel="0" collapsed="false">
      <c r="A102" s="10" t="n">
        <v>100</v>
      </c>
      <c r="B102" s="5" t="s">
        <v>596</v>
      </c>
      <c r="C102" s="5" t="s">
        <v>494</v>
      </c>
      <c r="D102" s="38" t="n">
        <v>1320</v>
      </c>
      <c r="E102" s="39" t="n">
        <v>132.159</v>
      </c>
      <c r="F102" s="39" t="n">
        <v>5.273</v>
      </c>
      <c r="G102" s="40"/>
      <c r="H102" s="41"/>
    </row>
    <row r="103" customFormat="false" ht="15" hidden="false" customHeight="true" outlineLevel="0" collapsed="false">
      <c r="A103" s="10" t="n">
        <v>101</v>
      </c>
      <c r="B103" s="4" t="s">
        <v>597</v>
      </c>
      <c r="C103" s="4" t="s">
        <v>494</v>
      </c>
      <c r="D103" s="33" t="n">
        <v>1320</v>
      </c>
      <c r="E103" s="37" t="n">
        <v>133.478</v>
      </c>
      <c r="F103" s="37" t="n">
        <v>5.282</v>
      </c>
      <c r="G103" s="10"/>
      <c r="H103" s="14"/>
    </row>
    <row r="104" customFormat="false" ht="15" hidden="false" customHeight="true" outlineLevel="0" collapsed="false">
      <c r="A104" s="10" t="n">
        <v>102</v>
      </c>
      <c r="B104" s="5" t="s">
        <v>598</v>
      </c>
      <c r="C104" s="5" t="s">
        <v>590</v>
      </c>
      <c r="D104" s="38" t="n">
        <v>1320</v>
      </c>
      <c r="E104" s="39" t="n">
        <v>134.798</v>
      </c>
      <c r="F104" s="39" t="n">
        <v>5.308</v>
      </c>
      <c r="G104" s="40"/>
      <c r="H104" s="41"/>
    </row>
    <row r="105" customFormat="false" ht="15" hidden="false" customHeight="true" outlineLevel="0" collapsed="false">
      <c r="A105" s="10" t="n">
        <v>103</v>
      </c>
      <c r="B105" s="4" t="s">
        <v>599</v>
      </c>
      <c r="C105" s="4" t="s">
        <v>496</v>
      </c>
      <c r="D105" s="33" t="n">
        <v>2820</v>
      </c>
      <c r="E105" s="37" t="n">
        <v>137.619</v>
      </c>
      <c r="F105" s="37" t="n">
        <v>5.343</v>
      </c>
      <c r="G105" s="10"/>
      <c r="H105" s="14"/>
    </row>
    <row r="106" customFormat="false" ht="15" hidden="false" customHeight="true" outlineLevel="0" collapsed="false">
      <c r="A106" s="10" t="n">
        <v>104</v>
      </c>
      <c r="B106" s="5" t="s">
        <v>600</v>
      </c>
      <c r="C106" s="5" t="s">
        <v>501</v>
      </c>
      <c r="D106" s="38" t="n">
        <v>500</v>
      </c>
      <c r="E106" s="39" t="n">
        <v>138.119</v>
      </c>
      <c r="F106" s="39" t="n">
        <v>5.35</v>
      </c>
      <c r="G106" s="40"/>
      <c r="H106" s="41"/>
    </row>
    <row r="107" customFormat="false" ht="15" hidden="false" customHeight="true" outlineLevel="0" collapsed="false">
      <c r="A107" s="10" t="n">
        <v>105</v>
      </c>
      <c r="B107" s="4" t="s">
        <v>601</v>
      </c>
      <c r="C107" s="4" t="s">
        <v>494</v>
      </c>
      <c r="D107" s="33" t="n">
        <v>1320</v>
      </c>
      <c r="E107" s="37" t="n">
        <v>139.439</v>
      </c>
      <c r="F107" s="37" t="n">
        <v>5.358</v>
      </c>
      <c r="G107" s="10"/>
      <c r="H107" s="14"/>
    </row>
    <row r="108" customFormat="false" ht="15" hidden="false" customHeight="true" outlineLevel="0" collapsed="false">
      <c r="A108" s="10" t="n">
        <v>106</v>
      </c>
      <c r="B108" s="5" t="s">
        <v>602</v>
      </c>
      <c r="C108" s="5" t="s">
        <v>492</v>
      </c>
      <c r="D108" s="38" t="n">
        <v>300</v>
      </c>
      <c r="E108" s="39" t="n">
        <v>139.738</v>
      </c>
      <c r="F108" s="39" t="n">
        <v>5.366</v>
      </c>
      <c r="G108" s="40"/>
      <c r="H108" s="41"/>
    </row>
    <row r="109" customFormat="false" ht="15" hidden="false" customHeight="true" outlineLevel="0" collapsed="false">
      <c r="A109" s="10" t="n">
        <v>107</v>
      </c>
      <c r="B109" s="4" t="s">
        <v>603</v>
      </c>
      <c r="C109" s="4" t="s">
        <v>573</v>
      </c>
      <c r="D109" s="33" t="n">
        <v>1200</v>
      </c>
      <c r="E109" s="37" t="n">
        <v>140.939</v>
      </c>
      <c r="F109" s="37" t="n">
        <v>5.392</v>
      </c>
      <c r="G109" s="10"/>
      <c r="H109" s="14"/>
    </row>
    <row r="110" customFormat="false" ht="15" hidden="false" customHeight="true" outlineLevel="0" collapsed="false">
      <c r="A110" s="10" t="n">
        <v>108</v>
      </c>
      <c r="B110" s="5" t="s">
        <v>604</v>
      </c>
      <c r="C110" s="5" t="s">
        <v>492</v>
      </c>
      <c r="D110" s="38" t="n">
        <v>2100</v>
      </c>
      <c r="E110" s="39" t="n">
        <v>143.038</v>
      </c>
      <c r="F110" s="39" t="n">
        <v>5.447</v>
      </c>
      <c r="G110" s="40"/>
      <c r="H110" s="41"/>
    </row>
    <row r="111" customFormat="false" ht="15" hidden="false" customHeight="true" outlineLevel="0" collapsed="false">
      <c r="A111" s="10" t="n">
        <v>109</v>
      </c>
      <c r="B111" s="4" t="s">
        <v>605</v>
      </c>
      <c r="C111" s="4" t="s">
        <v>492</v>
      </c>
      <c r="D111" s="33" t="n">
        <v>1200</v>
      </c>
      <c r="E111" s="37" t="n">
        <v>144.238</v>
      </c>
      <c r="F111" s="37" t="n">
        <v>5.455</v>
      </c>
      <c r="G111" s="10"/>
      <c r="H111" s="14"/>
    </row>
    <row r="112" customFormat="false" ht="15" hidden="false" customHeight="true" outlineLevel="0" collapsed="false">
      <c r="A112" s="10" t="n">
        <v>110</v>
      </c>
      <c r="B112" s="42" t="s">
        <v>606</v>
      </c>
      <c r="C112" s="43" t="s">
        <v>506</v>
      </c>
      <c r="D112" s="44" t="n">
        <v>870</v>
      </c>
      <c r="E112" s="45" t="n">
        <v>145.108</v>
      </c>
      <c r="F112" s="45" t="n">
        <v>5.457</v>
      </c>
      <c r="G112" s="46" t="s">
        <v>507</v>
      </c>
      <c r="H112" s="47" t="s">
        <v>508</v>
      </c>
    </row>
    <row r="113" customFormat="false" ht="15" hidden="false" customHeight="true" outlineLevel="0" collapsed="false">
      <c r="A113" s="10" t="n">
        <v>111</v>
      </c>
      <c r="B113" s="4" t="s">
        <v>607</v>
      </c>
      <c r="C113" s="4" t="s">
        <v>520</v>
      </c>
      <c r="D113" s="33" t="n">
        <v>3340</v>
      </c>
      <c r="E113" s="37" t="n">
        <v>148.448</v>
      </c>
      <c r="F113" s="37" t="n">
        <v>5.5</v>
      </c>
      <c r="G113" s="10"/>
      <c r="H113" s="14"/>
    </row>
    <row r="114" customFormat="false" ht="15" hidden="false" customHeight="true" outlineLevel="0" collapsed="false">
      <c r="A114" s="10" t="n">
        <v>112</v>
      </c>
      <c r="B114" s="5" t="s">
        <v>608</v>
      </c>
      <c r="C114" s="5" t="s">
        <v>590</v>
      </c>
      <c r="D114" s="38" t="n">
        <v>1200</v>
      </c>
      <c r="E114" s="39" t="n">
        <v>149.649</v>
      </c>
      <c r="F114" s="39" t="n">
        <v>5.5</v>
      </c>
      <c r="G114" s="40"/>
      <c r="H114" s="41"/>
    </row>
    <row r="115" customFormat="false" ht="15" hidden="false" customHeight="true" outlineLevel="0" collapsed="false">
      <c r="A115" s="10" t="n">
        <v>113</v>
      </c>
      <c r="B115" s="4" t="s">
        <v>609</v>
      </c>
      <c r="C115" s="4" t="s">
        <v>485</v>
      </c>
      <c r="D115" s="33" t="n">
        <v>500</v>
      </c>
      <c r="E115" s="37" t="n">
        <v>150.149</v>
      </c>
      <c r="F115" s="37" t="n">
        <v>5.512</v>
      </c>
      <c r="G115" s="10"/>
      <c r="H115" s="14"/>
    </row>
    <row r="116" customFormat="false" ht="15" hidden="false" customHeight="true" outlineLevel="0" collapsed="false">
      <c r="A116" s="10" t="n">
        <v>114</v>
      </c>
      <c r="B116" s="5" t="s">
        <v>610</v>
      </c>
      <c r="C116" s="5" t="s">
        <v>573</v>
      </c>
      <c r="D116" s="38" t="n">
        <v>1080</v>
      </c>
      <c r="E116" s="39" t="n">
        <v>151.228</v>
      </c>
      <c r="F116" s="39" t="n">
        <v>5.533</v>
      </c>
      <c r="G116" s="40"/>
      <c r="H116" s="41"/>
    </row>
    <row r="117" customFormat="false" ht="15" hidden="false" customHeight="true" outlineLevel="0" collapsed="false">
      <c r="A117" s="10" t="n">
        <v>115</v>
      </c>
      <c r="B117" s="4" t="s">
        <v>611</v>
      </c>
      <c r="C117" s="4" t="s">
        <v>520</v>
      </c>
      <c r="D117" s="33" t="n">
        <v>500</v>
      </c>
      <c r="E117" s="37" t="n">
        <v>151.728</v>
      </c>
      <c r="F117" s="37" t="n">
        <v>5.622</v>
      </c>
      <c r="G117" s="10"/>
      <c r="H117" s="14"/>
    </row>
    <row r="118" customFormat="false" ht="15" hidden="false" customHeight="true" outlineLevel="0" collapsed="false">
      <c r="A118" s="10" t="n">
        <v>116</v>
      </c>
      <c r="B118" s="5" t="s">
        <v>612</v>
      </c>
      <c r="C118" s="5" t="s">
        <v>520</v>
      </c>
      <c r="D118" s="38" t="n">
        <v>2135</v>
      </c>
      <c r="E118" s="39" t="n">
        <v>153.863</v>
      </c>
      <c r="F118" s="39" t="n">
        <v>5.66</v>
      </c>
      <c r="G118" s="40"/>
      <c r="H118" s="41"/>
    </row>
    <row r="119" customFormat="false" ht="15" hidden="false" customHeight="true" outlineLevel="0" collapsed="false">
      <c r="A119" s="10" t="n">
        <v>117</v>
      </c>
      <c r="B119" s="4" t="s">
        <v>613</v>
      </c>
      <c r="C119" s="4" t="s">
        <v>520</v>
      </c>
      <c r="D119" s="33" t="n">
        <v>562.5</v>
      </c>
      <c r="E119" s="37" t="n">
        <v>154.426</v>
      </c>
      <c r="F119" s="37" t="n">
        <v>5.7</v>
      </c>
      <c r="G119" s="10"/>
      <c r="H119" s="14"/>
    </row>
    <row r="120" customFormat="false" ht="15" hidden="false" customHeight="true" outlineLevel="0" collapsed="false">
      <c r="A120" s="10" t="n">
        <v>118</v>
      </c>
      <c r="B120" s="5" t="s">
        <v>614</v>
      </c>
      <c r="C120" s="5" t="s">
        <v>590</v>
      </c>
      <c r="D120" s="38" t="n">
        <v>1360</v>
      </c>
      <c r="E120" s="39" t="n">
        <v>155.786</v>
      </c>
      <c r="F120" s="39" t="n">
        <v>5.707</v>
      </c>
      <c r="G120" s="40"/>
      <c r="H120" s="41"/>
    </row>
    <row r="121" customFormat="false" ht="15" hidden="false" customHeight="true" outlineLevel="0" collapsed="false">
      <c r="A121" s="10" t="n">
        <v>119</v>
      </c>
      <c r="B121" s="4" t="s">
        <v>615</v>
      </c>
      <c r="C121" s="4" t="s">
        <v>485</v>
      </c>
      <c r="D121" s="33" t="n">
        <v>90</v>
      </c>
      <c r="E121" s="37" t="n">
        <v>155.876</v>
      </c>
      <c r="F121" s="37" t="n">
        <v>5.736</v>
      </c>
      <c r="G121" s="10"/>
      <c r="H121" s="14"/>
    </row>
    <row r="122" customFormat="false" ht="15" hidden="false" customHeight="true" outlineLevel="0" collapsed="false">
      <c r="A122" s="10" t="n">
        <v>120</v>
      </c>
      <c r="B122" s="5" t="s">
        <v>616</v>
      </c>
      <c r="C122" s="5" t="s">
        <v>573</v>
      </c>
      <c r="D122" s="38" t="n">
        <v>2520</v>
      </c>
      <c r="E122" s="39" t="n">
        <v>158.396</v>
      </c>
      <c r="F122" s="39" t="n">
        <v>5.76</v>
      </c>
      <c r="G122" s="40"/>
      <c r="H122" s="41"/>
    </row>
    <row r="123" customFormat="false" ht="15" hidden="false" customHeight="true" outlineLevel="0" collapsed="false">
      <c r="A123" s="10" t="n">
        <v>121</v>
      </c>
      <c r="B123" s="4" t="s">
        <v>617</v>
      </c>
      <c r="C123" s="4" t="s">
        <v>494</v>
      </c>
      <c r="D123" s="33" t="n">
        <v>1550</v>
      </c>
      <c r="E123" s="37" t="n">
        <v>159.946</v>
      </c>
      <c r="F123" s="37" t="n">
        <v>5.779</v>
      </c>
      <c r="G123" s="10"/>
      <c r="H123" s="14"/>
    </row>
    <row r="124" customFormat="false" ht="15" hidden="false" customHeight="true" outlineLevel="0" collapsed="false">
      <c r="A124" s="10" t="n">
        <v>122</v>
      </c>
      <c r="B124" s="5" t="s">
        <v>618</v>
      </c>
      <c r="C124" s="5" t="s">
        <v>619</v>
      </c>
      <c r="D124" s="38" t="n">
        <v>750</v>
      </c>
      <c r="E124" s="39" t="n">
        <v>160.696</v>
      </c>
      <c r="F124" s="39" t="n">
        <v>5.794</v>
      </c>
      <c r="G124" s="40"/>
      <c r="H124" s="41"/>
    </row>
    <row r="125" customFormat="false" ht="15" hidden="false" customHeight="true" outlineLevel="0" collapsed="false">
      <c r="A125" s="10" t="n">
        <v>123</v>
      </c>
      <c r="B125" s="42" t="s">
        <v>620</v>
      </c>
      <c r="C125" s="43" t="s">
        <v>506</v>
      </c>
      <c r="D125" s="44" t="n">
        <v>2270</v>
      </c>
      <c r="E125" s="45" t="n">
        <v>162.966</v>
      </c>
      <c r="F125" s="45" t="n">
        <v>5.797</v>
      </c>
      <c r="G125" s="46" t="s">
        <v>507</v>
      </c>
      <c r="H125" s="47" t="s">
        <v>508</v>
      </c>
    </row>
    <row r="126" customFormat="false" ht="15" hidden="false" customHeight="true" outlineLevel="0" collapsed="false">
      <c r="A126" s="10" t="n">
        <v>124</v>
      </c>
      <c r="B126" s="5" t="s">
        <v>621</v>
      </c>
      <c r="C126" s="5" t="s">
        <v>520</v>
      </c>
      <c r="D126" s="38" t="n">
        <v>2320</v>
      </c>
      <c r="E126" s="39" t="n">
        <v>165.286</v>
      </c>
      <c r="F126" s="39" t="n">
        <v>5.803</v>
      </c>
      <c r="G126" s="40"/>
      <c r="H126" s="41"/>
    </row>
    <row r="127" customFormat="false" ht="15" hidden="false" customHeight="true" outlineLevel="0" collapsed="false">
      <c r="A127" s="10" t="n">
        <v>125</v>
      </c>
      <c r="B127" s="4" t="s">
        <v>622</v>
      </c>
      <c r="C127" s="4" t="s">
        <v>543</v>
      </c>
      <c r="D127" s="33" t="n">
        <v>1320</v>
      </c>
      <c r="E127" s="37" t="n">
        <v>166.606</v>
      </c>
      <c r="F127" s="37" t="n">
        <v>5.98</v>
      </c>
      <c r="G127" s="10"/>
      <c r="H127" s="14"/>
    </row>
    <row r="128" customFormat="false" ht="15" hidden="false" customHeight="true" outlineLevel="0" collapsed="false">
      <c r="A128" s="10" t="n">
        <v>126</v>
      </c>
      <c r="B128" s="5" t="s">
        <v>623</v>
      </c>
      <c r="C128" s="5" t="s">
        <v>490</v>
      </c>
      <c r="D128" s="38" t="n">
        <v>1050</v>
      </c>
      <c r="E128" s="39" t="n">
        <v>167.656</v>
      </c>
      <c r="F128" s="39" t="n">
        <v>6.066</v>
      </c>
      <c r="G128" s="40"/>
      <c r="H128" s="41"/>
    </row>
    <row r="129" customFormat="false" ht="15" hidden="false" customHeight="true" outlineLevel="0" collapsed="false">
      <c r="A129" s="10" t="n">
        <v>127</v>
      </c>
      <c r="B129" s="4" t="s">
        <v>624</v>
      </c>
      <c r="C129" s="4" t="s">
        <v>539</v>
      </c>
      <c r="D129" s="33" t="n">
        <v>1980</v>
      </c>
      <c r="E129" s="37" t="n">
        <v>169.636</v>
      </c>
      <c r="F129" s="37" t="n">
        <v>6.082</v>
      </c>
      <c r="G129" s="10"/>
      <c r="H129" s="14"/>
    </row>
    <row r="130" customFormat="false" ht="15" hidden="false" customHeight="true" outlineLevel="0" collapsed="false">
      <c r="A130" s="10" t="n">
        <v>128</v>
      </c>
      <c r="B130" s="5" t="s">
        <v>625</v>
      </c>
      <c r="C130" s="5" t="s">
        <v>543</v>
      </c>
      <c r="D130" s="38" t="n">
        <v>2400</v>
      </c>
      <c r="E130" s="39" t="n">
        <v>172.036</v>
      </c>
      <c r="F130" s="39" t="n">
        <v>6.1</v>
      </c>
      <c r="G130" s="40"/>
      <c r="H130" s="41"/>
    </row>
    <row r="131" customFormat="false" ht="15" hidden="false" customHeight="true" outlineLevel="0" collapsed="false">
      <c r="A131" s="10" t="n">
        <v>129</v>
      </c>
      <c r="B131" s="4" t="s">
        <v>626</v>
      </c>
      <c r="C131" s="4" t="s">
        <v>543</v>
      </c>
      <c r="D131" s="33" t="n">
        <v>2560</v>
      </c>
      <c r="E131" s="37" t="n">
        <v>174.596</v>
      </c>
      <c r="F131" s="37" t="n">
        <v>6.1</v>
      </c>
      <c r="G131" s="10"/>
      <c r="H131" s="14"/>
    </row>
    <row r="132" customFormat="false" ht="15" hidden="false" customHeight="true" outlineLevel="0" collapsed="false">
      <c r="A132" s="10" t="n">
        <v>130</v>
      </c>
      <c r="B132" s="5" t="s">
        <v>627</v>
      </c>
      <c r="C132" s="5" t="s">
        <v>490</v>
      </c>
      <c r="D132" s="38" t="n">
        <v>2630</v>
      </c>
      <c r="E132" s="39" t="n">
        <v>177.226</v>
      </c>
      <c r="F132" s="39" t="n">
        <v>6.128</v>
      </c>
      <c r="G132" s="40"/>
      <c r="H132" s="41"/>
    </row>
    <row r="133" customFormat="false" ht="15" hidden="false" customHeight="true" outlineLevel="0" collapsed="false">
      <c r="A133" s="10" t="n">
        <v>131</v>
      </c>
      <c r="B133" s="4" t="s">
        <v>628</v>
      </c>
      <c r="C133" s="4" t="s">
        <v>543</v>
      </c>
      <c r="D133" s="33" t="n">
        <v>1650</v>
      </c>
      <c r="E133" s="37" t="n">
        <v>178.876</v>
      </c>
      <c r="F133" s="37" t="n">
        <v>6.15</v>
      </c>
      <c r="G133" s="10"/>
      <c r="H133" s="14"/>
    </row>
    <row r="134" customFormat="false" ht="15" hidden="false" customHeight="true" outlineLevel="0" collapsed="false">
      <c r="A134" s="10" t="n">
        <v>132</v>
      </c>
      <c r="B134" s="5" t="s">
        <v>629</v>
      </c>
      <c r="C134" s="5" t="s">
        <v>490</v>
      </c>
      <c r="D134" s="38" t="n">
        <v>1500</v>
      </c>
      <c r="E134" s="39" t="n">
        <v>180.376</v>
      </c>
      <c r="F134" s="39" t="n">
        <v>6.181</v>
      </c>
      <c r="G134" s="40"/>
      <c r="H134" s="41"/>
    </row>
    <row r="135" customFormat="false" ht="15" hidden="false" customHeight="true" outlineLevel="0" collapsed="false">
      <c r="A135" s="10" t="n">
        <v>133</v>
      </c>
      <c r="B135" s="4" t="s">
        <v>630</v>
      </c>
      <c r="C135" s="4" t="s">
        <v>520</v>
      </c>
      <c r="D135" s="33" t="n">
        <v>3300</v>
      </c>
      <c r="E135" s="37" t="n">
        <v>183.676</v>
      </c>
      <c r="F135" s="37" t="n">
        <v>6.216</v>
      </c>
      <c r="G135" s="10"/>
      <c r="H135" s="14"/>
    </row>
    <row r="136" customFormat="false" ht="15" hidden="false" customHeight="true" outlineLevel="0" collapsed="false">
      <c r="A136" s="10" t="n">
        <v>134</v>
      </c>
      <c r="B136" s="5" t="s">
        <v>631</v>
      </c>
      <c r="C136" s="5" t="s">
        <v>485</v>
      </c>
      <c r="D136" s="38" t="n">
        <v>1600</v>
      </c>
      <c r="E136" s="39" t="n">
        <v>185.276</v>
      </c>
      <c r="F136" s="39" t="n">
        <v>6.406</v>
      </c>
      <c r="G136" s="40"/>
      <c r="H136" s="41"/>
    </row>
    <row r="137" customFormat="false" ht="15" hidden="false" customHeight="true" outlineLevel="0" collapsed="false">
      <c r="A137" s="10" t="n">
        <v>135</v>
      </c>
      <c r="B137" s="4" t="s">
        <v>632</v>
      </c>
      <c r="C137" s="4" t="s">
        <v>485</v>
      </c>
      <c r="D137" s="33" t="n">
        <v>1320</v>
      </c>
      <c r="E137" s="37" t="n">
        <v>186.596</v>
      </c>
      <c r="F137" s="37" t="n">
        <v>6.416</v>
      </c>
      <c r="G137" s="10"/>
      <c r="H137" s="14"/>
    </row>
    <row r="138" customFormat="false" ht="15" hidden="false" customHeight="true" outlineLevel="0" collapsed="false">
      <c r="A138" s="10" t="n">
        <v>136</v>
      </c>
      <c r="B138" s="5" t="s">
        <v>633</v>
      </c>
      <c r="C138" s="5" t="s">
        <v>590</v>
      </c>
      <c r="D138" s="38" t="n">
        <v>1500</v>
      </c>
      <c r="E138" s="39" t="n">
        <v>188.096</v>
      </c>
      <c r="F138" s="39" t="n">
        <v>6.654</v>
      </c>
      <c r="G138" s="40"/>
      <c r="H138" s="41"/>
    </row>
    <row r="139" customFormat="false" ht="15" hidden="false" customHeight="true" outlineLevel="0" collapsed="false">
      <c r="A139" s="10" t="n">
        <v>137</v>
      </c>
      <c r="B139" s="4" t="s">
        <v>634</v>
      </c>
      <c r="C139" s="4" t="s">
        <v>520</v>
      </c>
      <c r="D139" s="33" t="n">
        <v>1320</v>
      </c>
      <c r="E139" s="37" t="n">
        <v>189.416</v>
      </c>
      <c r="F139" s="37" t="n">
        <v>6.756</v>
      </c>
      <c r="G139" s="10"/>
      <c r="H139" s="14"/>
    </row>
    <row r="140" customFormat="false" ht="15" hidden="false" customHeight="true" outlineLevel="0" collapsed="false">
      <c r="A140" s="10" t="n">
        <v>138</v>
      </c>
      <c r="B140" s="5" t="s">
        <v>635</v>
      </c>
      <c r="C140" s="5" t="s">
        <v>539</v>
      </c>
      <c r="D140" s="38" t="n">
        <v>3300</v>
      </c>
      <c r="E140" s="39" t="n">
        <v>192.716</v>
      </c>
      <c r="F140" s="39" t="n">
        <v>6.82</v>
      </c>
      <c r="G140" s="40"/>
      <c r="H140" s="41"/>
    </row>
    <row r="141" customFormat="false" ht="15" hidden="false" customHeight="true" outlineLevel="0" collapsed="false">
      <c r="A141" s="10" t="n">
        <v>139</v>
      </c>
      <c r="B141" s="4" t="s">
        <v>636</v>
      </c>
      <c r="C141" s="4" t="s">
        <v>494</v>
      </c>
      <c r="D141" s="33" t="n">
        <v>1820</v>
      </c>
      <c r="E141" s="37" t="n">
        <v>194.536</v>
      </c>
      <c r="F141" s="37" t="n">
        <v>7.016</v>
      </c>
      <c r="G141" s="10"/>
      <c r="H141" s="14"/>
    </row>
    <row r="142" customFormat="false" ht="15" hidden="false" customHeight="true" outlineLevel="0" collapsed="false">
      <c r="A142" s="10" t="n">
        <v>140</v>
      </c>
      <c r="B142" s="5" t="s">
        <v>637</v>
      </c>
      <c r="C142" s="5" t="s">
        <v>520</v>
      </c>
      <c r="D142" s="38" t="n">
        <v>1400</v>
      </c>
      <c r="E142" s="39" t="n">
        <v>195.936</v>
      </c>
      <c r="F142" s="39" t="n">
        <v>7.234</v>
      </c>
      <c r="G142" s="40"/>
      <c r="H142" s="41"/>
    </row>
    <row r="143" customFormat="false" ht="15" hidden="false" customHeight="true" outlineLevel="0" collapsed="false">
      <c r="A143" s="10" t="n">
        <v>141</v>
      </c>
      <c r="B143" s="4" t="s">
        <v>638</v>
      </c>
      <c r="C143" s="4" t="s">
        <v>520</v>
      </c>
      <c r="D143" s="33" t="n">
        <v>880</v>
      </c>
      <c r="E143" s="37" t="n">
        <v>196.816</v>
      </c>
      <c r="F143" s="37" t="n">
        <v>7.24</v>
      </c>
      <c r="G143" s="10"/>
      <c r="H143" s="14"/>
    </row>
    <row r="144" customFormat="false" ht="15" hidden="false" customHeight="true" outlineLevel="0" collapsed="false">
      <c r="A144" s="10" t="n">
        <v>142</v>
      </c>
      <c r="B144" s="5" t="s">
        <v>639</v>
      </c>
      <c r="C144" s="5" t="s">
        <v>573</v>
      </c>
      <c r="D144" s="38" t="n">
        <v>62.5</v>
      </c>
      <c r="E144" s="39" t="n">
        <v>196.879</v>
      </c>
      <c r="F144" s="39" t="n">
        <v>7.297</v>
      </c>
      <c r="G144" s="40"/>
      <c r="H144" s="41"/>
    </row>
    <row r="145" customFormat="false" ht="15" hidden="false" customHeight="true" outlineLevel="0" collapsed="false">
      <c r="A145" s="10" t="n">
        <v>143</v>
      </c>
      <c r="B145" s="4" t="s">
        <v>640</v>
      </c>
      <c r="C145" s="4" t="s">
        <v>641</v>
      </c>
      <c r="D145" s="33" t="n">
        <v>2400</v>
      </c>
      <c r="E145" s="37" t="n">
        <v>199.279</v>
      </c>
      <c r="F145" s="37" t="n">
        <v>7.349</v>
      </c>
      <c r="G145" s="10"/>
      <c r="H145" s="14"/>
    </row>
    <row r="146" customFormat="false" ht="15" hidden="false" customHeight="true" outlineLevel="0" collapsed="false">
      <c r="A146" s="10" t="n">
        <v>144</v>
      </c>
      <c r="B146" s="5" t="s">
        <v>642</v>
      </c>
      <c r="C146" s="5" t="s">
        <v>641</v>
      </c>
      <c r="D146" s="38" t="n">
        <v>1720</v>
      </c>
      <c r="E146" s="39" t="n">
        <v>200.999</v>
      </c>
      <c r="F146" s="39" t="n">
        <v>7.41</v>
      </c>
      <c r="G146" s="40"/>
      <c r="H146" s="41"/>
    </row>
    <row r="147" customFormat="false" ht="15" hidden="false" customHeight="true" outlineLevel="0" collapsed="false">
      <c r="A147" s="10" t="n">
        <v>145</v>
      </c>
      <c r="B147" s="4" t="s">
        <v>643</v>
      </c>
      <c r="C147" s="4" t="s">
        <v>641</v>
      </c>
      <c r="D147" s="33" t="n">
        <v>1700</v>
      </c>
      <c r="E147" s="37" t="n">
        <v>202.698</v>
      </c>
      <c r="F147" s="37" t="n">
        <v>7.532</v>
      </c>
      <c r="G147" s="10"/>
      <c r="H147" s="14"/>
    </row>
    <row r="148" customFormat="false" ht="15" hidden="false" customHeight="true" outlineLevel="0" collapsed="false">
      <c r="A148" s="10" t="n">
        <v>146</v>
      </c>
      <c r="B148" s="42" t="s">
        <v>644</v>
      </c>
      <c r="C148" s="43" t="s">
        <v>506</v>
      </c>
      <c r="D148" s="44" t="n">
        <v>500</v>
      </c>
      <c r="E148" s="45" t="n">
        <v>203.198</v>
      </c>
      <c r="F148" s="45" t="n">
        <v>7.739</v>
      </c>
      <c r="G148" s="46" t="s">
        <v>507</v>
      </c>
      <c r="H148" s="47" t="s">
        <v>508</v>
      </c>
    </row>
    <row r="149" customFormat="false" ht="15" hidden="false" customHeight="true" outlineLevel="0" collapsed="false">
      <c r="A149" s="10" t="n">
        <v>147</v>
      </c>
      <c r="B149" s="42" t="s">
        <v>645</v>
      </c>
      <c r="C149" s="43" t="s">
        <v>506</v>
      </c>
      <c r="D149" s="44" t="n">
        <v>290</v>
      </c>
      <c r="E149" s="45" t="n">
        <v>203.488</v>
      </c>
      <c r="F149" s="45" t="n">
        <v>7.745</v>
      </c>
      <c r="G149" s="46" t="s">
        <v>507</v>
      </c>
      <c r="H149" s="47" t="s">
        <v>508</v>
      </c>
    </row>
    <row r="150" customFormat="false" ht="15" hidden="false" customHeight="true" outlineLevel="0" collapsed="false">
      <c r="A150" s="10" t="n">
        <v>148</v>
      </c>
      <c r="B150" s="5" t="s">
        <v>646</v>
      </c>
      <c r="C150" s="5" t="s">
        <v>494</v>
      </c>
      <c r="D150" s="38" t="n">
        <v>1200</v>
      </c>
      <c r="E150" s="39" t="n">
        <v>204.689</v>
      </c>
      <c r="F150" s="39" t="n">
        <v>8.016</v>
      </c>
      <c r="G150" s="40"/>
      <c r="H150" s="41"/>
    </row>
    <row r="151" customFormat="false" ht="15" hidden="false" customHeight="true" outlineLevel="0" collapsed="false">
      <c r="A151" s="10" t="n">
        <v>149</v>
      </c>
      <c r="B151" s="4" t="s">
        <v>647</v>
      </c>
      <c r="C151" s="4" t="s">
        <v>490</v>
      </c>
      <c r="D151" s="33" t="n">
        <v>1440</v>
      </c>
      <c r="E151" s="37" t="n">
        <v>206.129</v>
      </c>
      <c r="F151" s="37" t="n">
        <v>8.095</v>
      </c>
      <c r="G151" s="10"/>
      <c r="H151" s="14"/>
    </row>
    <row r="152" customFormat="false" ht="15" hidden="false" customHeight="true" outlineLevel="0" collapsed="false">
      <c r="A152" s="10" t="n">
        <v>150</v>
      </c>
      <c r="B152" s="5" t="s">
        <v>648</v>
      </c>
      <c r="C152" s="5" t="s">
        <v>641</v>
      </c>
      <c r="D152" s="38" t="n">
        <v>1600</v>
      </c>
      <c r="E152" s="39" t="n">
        <v>207.728</v>
      </c>
      <c r="F152" s="39" t="n">
        <v>8.505</v>
      </c>
      <c r="G152" s="40"/>
      <c r="H152" s="41"/>
    </row>
    <row r="153" customFormat="false" ht="15" hidden="false" customHeight="true" outlineLevel="0" collapsed="false">
      <c r="A153" s="10" t="n">
        <v>151</v>
      </c>
      <c r="B153" s="4" t="s">
        <v>649</v>
      </c>
      <c r="C153" s="4" t="s">
        <v>520</v>
      </c>
      <c r="D153" s="33" t="n">
        <v>1420</v>
      </c>
      <c r="E153" s="37" t="n">
        <v>209.149</v>
      </c>
      <c r="F153" s="37" t="n">
        <v>8.53</v>
      </c>
      <c r="G153" s="10"/>
      <c r="H153" s="14"/>
    </row>
    <row r="154" customFormat="false" ht="15" hidden="false" customHeight="true" outlineLevel="0" collapsed="false">
      <c r="A154" s="10" t="n">
        <v>152</v>
      </c>
      <c r="B154" s="5" t="s">
        <v>650</v>
      </c>
      <c r="C154" s="5" t="s">
        <v>641</v>
      </c>
      <c r="D154" s="38" t="n">
        <v>1200</v>
      </c>
      <c r="E154" s="39" t="n">
        <v>210.349</v>
      </c>
      <c r="F154" s="39" t="n">
        <v>9.17</v>
      </c>
      <c r="G154" s="40"/>
      <c r="H154" s="41"/>
    </row>
    <row r="155" customFormat="false" ht="15" hidden="false" customHeight="true" outlineLevel="0" collapsed="false">
      <c r="A155" s="10" t="n">
        <v>153</v>
      </c>
      <c r="B155" s="42" t="s">
        <v>651</v>
      </c>
      <c r="C155" s="43" t="s">
        <v>506</v>
      </c>
      <c r="D155" s="44" t="n">
        <v>740</v>
      </c>
      <c r="E155" s="45" t="n">
        <v>211.089</v>
      </c>
      <c r="F155" s="45" t="n">
        <v>10.705</v>
      </c>
      <c r="G155" s="46" t="s">
        <v>507</v>
      </c>
      <c r="H155" s="47" t="s">
        <v>508</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5"/>
    <col collapsed="false" customWidth="true" hidden="false" outlineLevel="0" max="3" min="3" style="1" width="14"/>
    <col collapsed="false" customWidth="true" hidden="false" outlineLevel="0" max="4" min="4" style="1" width="16"/>
    <col collapsed="false" customWidth="true" hidden="false" outlineLevel="0" max="5" min="5" style="1" width="10"/>
    <col collapsed="false" customWidth="true" hidden="false" outlineLevel="0" max="7" min="6" style="1" width="18"/>
    <col collapsed="false" customWidth="true" hidden="false" outlineLevel="0" max="8" min="8" style="1" width="40"/>
    <col collapsed="false" customWidth="true" hidden="false" outlineLevel="0" max="9" min="9" style="1" width="16"/>
    <col collapsed="false" customWidth="true" hidden="false" outlineLevel="0" max="10" min="10" style="1" width="28"/>
  </cols>
  <sheetData>
    <row r="1" customFormat="false" ht="27.75" hidden="false" customHeight="true" outlineLevel="0" collapsed="false">
      <c r="A1" s="48" t="s">
        <v>652</v>
      </c>
      <c r="B1" s="48"/>
      <c r="C1" s="48"/>
      <c r="D1" s="48"/>
      <c r="E1" s="48"/>
      <c r="F1" s="48"/>
      <c r="G1" s="48"/>
      <c r="H1" s="48"/>
      <c r="I1" s="48"/>
      <c r="J1" s="48"/>
    </row>
    <row r="2" customFormat="false" ht="36" hidden="false" customHeight="true" outlineLevel="0" collapsed="false">
      <c r="A2" s="49" t="s">
        <v>653</v>
      </c>
      <c r="B2" s="49"/>
      <c r="C2" s="49"/>
      <c r="D2" s="49"/>
      <c r="E2" s="49"/>
      <c r="F2" s="49"/>
      <c r="G2" s="49"/>
      <c r="H2" s="49"/>
      <c r="I2" s="49"/>
      <c r="J2" s="49"/>
    </row>
    <row r="3" customFormat="false" ht="21.75" hidden="false" customHeight="true" outlineLevel="0" collapsed="false">
      <c r="A3" s="3" t="s">
        <v>132</v>
      </c>
      <c r="B3" s="3" t="s">
        <v>133</v>
      </c>
      <c r="C3" s="3" t="s">
        <v>654</v>
      </c>
      <c r="D3" s="3" t="s">
        <v>655</v>
      </c>
      <c r="E3" s="3" t="s">
        <v>263</v>
      </c>
      <c r="F3" s="3" t="s">
        <v>656</v>
      </c>
      <c r="G3" s="3" t="s">
        <v>657</v>
      </c>
      <c r="H3" s="3" t="s">
        <v>658</v>
      </c>
      <c r="I3" s="3" t="s">
        <v>659</v>
      </c>
      <c r="J3" s="3" t="s">
        <v>660</v>
      </c>
    </row>
    <row r="4" customFormat="false" ht="15" hidden="false" customHeight="true" outlineLevel="0" collapsed="false">
      <c r="A4" s="10" t="n">
        <v>1</v>
      </c>
      <c r="B4" s="11" t="s">
        <v>661</v>
      </c>
      <c r="C4" s="33" t="n">
        <v>210</v>
      </c>
      <c r="D4" s="10" t="s">
        <v>662</v>
      </c>
      <c r="E4" s="15" t="s">
        <v>148</v>
      </c>
      <c r="F4" s="50" t="n">
        <f aca="false">ROUND(C4*0.01,1)</f>
        <v>2.1</v>
      </c>
      <c r="G4" s="50" t="n">
        <f aca="false">ROUND(C4*0.01,1)</f>
        <v>2.1</v>
      </c>
      <c r="H4" s="14" t="s">
        <v>663</v>
      </c>
      <c r="I4" s="10" t="s">
        <v>664</v>
      </c>
      <c r="J4" s="51" t="s">
        <v>665</v>
      </c>
    </row>
    <row r="5" customFormat="false" ht="15" hidden="false" customHeight="true" outlineLevel="0" collapsed="false">
      <c r="A5" s="10" t="n">
        <v>2</v>
      </c>
      <c r="B5" s="11" t="s">
        <v>152</v>
      </c>
      <c r="C5" s="33" t="n">
        <v>210</v>
      </c>
      <c r="D5" s="10" t="s">
        <v>662</v>
      </c>
      <c r="E5" s="15" t="s">
        <v>148</v>
      </c>
      <c r="F5" s="50" t="n">
        <f aca="false">ROUND(C5*0.01,1)</f>
        <v>2.1</v>
      </c>
      <c r="G5" s="50" t="n">
        <f aca="false">ROUND(C5*0.01,1)</f>
        <v>2.1</v>
      </c>
      <c r="H5" s="14" t="s">
        <v>666</v>
      </c>
      <c r="I5" s="10" t="s">
        <v>664</v>
      </c>
      <c r="J5" s="51" t="s">
        <v>665</v>
      </c>
    </row>
    <row r="6" customFormat="false" ht="15" hidden="false" customHeight="true" outlineLevel="0" collapsed="false">
      <c r="A6" s="10" t="n">
        <v>3</v>
      </c>
      <c r="B6" s="11" t="s">
        <v>667</v>
      </c>
      <c r="C6" s="33" t="n">
        <v>200</v>
      </c>
      <c r="D6" s="10" t="s">
        <v>662</v>
      </c>
      <c r="E6" s="15" t="s">
        <v>148</v>
      </c>
      <c r="F6" s="50" t="n">
        <f aca="false">ROUND(C6*0.01,1)</f>
        <v>2</v>
      </c>
      <c r="G6" s="50" t="n">
        <f aca="false">ROUND(C6*0.01,1)</f>
        <v>2</v>
      </c>
      <c r="H6" s="14" t="s">
        <v>666</v>
      </c>
      <c r="I6" s="10" t="s">
        <v>664</v>
      </c>
      <c r="J6" s="51" t="s">
        <v>665</v>
      </c>
    </row>
    <row r="7" customFormat="false" ht="15" hidden="false" customHeight="true" outlineLevel="0" collapsed="false">
      <c r="A7" s="10" t="n">
        <v>4</v>
      </c>
      <c r="B7" s="11" t="s">
        <v>668</v>
      </c>
      <c r="C7" s="33" t="n">
        <v>500</v>
      </c>
      <c r="D7" s="10" t="s">
        <v>669</v>
      </c>
      <c r="E7" s="15" t="s">
        <v>148</v>
      </c>
      <c r="F7" s="50" t="n">
        <f aca="false">ROUND(C7*0.02,1)</f>
        <v>10</v>
      </c>
      <c r="G7" s="50" t="n">
        <f aca="false">ROUND(C7*0.02,1)</f>
        <v>10</v>
      </c>
      <c r="H7" s="14" t="s">
        <v>670</v>
      </c>
      <c r="I7" s="10" t="s">
        <v>664</v>
      </c>
      <c r="J7" s="51" t="s">
        <v>665</v>
      </c>
    </row>
    <row r="8" customFormat="false" ht="15" hidden="false" customHeight="true" outlineLevel="0" collapsed="false">
      <c r="A8" s="10" t="n">
        <v>5</v>
      </c>
      <c r="B8" s="11" t="s">
        <v>671</v>
      </c>
      <c r="C8" s="33" t="n">
        <v>250</v>
      </c>
      <c r="D8" s="10" t="s">
        <v>662</v>
      </c>
      <c r="E8" s="15" t="s">
        <v>148</v>
      </c>
      <c r="F8" s="50" t="n">
        <f aca="false">ROUND(C8*0.01,1)</f>
        <v>2.5</v>
      </c>
      <c r="G8" s="50" t="n">
        <f aca="false">ROUND(C8*0.01,1)</f>
        <v>2.5</v>
      </c>
      <c r="H8" s="14" t="s">
        <v>666</v>
      </c>
      <c r="I8" s="10" t="s">
        <v>664</v>
      </c>
      <c r="J8" s="51" t="s">
        <v>665</v>
      </c>
    </row>
    <row r="9" customFormat="false" ht="15" hidden="false" customHeight="true" outlineLevel="0" collapsed="false">
      <c r="A9" s="10" t="n">
        <v>6</v>
      </c>
      <c r="B9" s="25" t="s">
        <v>177</v>
      </c>
      <c r="C9" s="33" t="n">
        <v>125</v>
      </c>
      <c r="D9" s="10" t="s">
        <v>662</v>
      </c>
      <c r="E9" s="26" t="s">
        <v>170</v>
      </c>
      <c r="F9" s="52" t="n">
        <f aca="false">ROUND(C9*0.01,1)</f>
        <v>1.3</v>
      </c>
      <c r="G9" s="52" t="n">
        <f aca="false">ROUND(C9*0.01,1)</f>
        <v>1.3</v>
      </c>
      <c r="H9" s="14" t="s">
        <v>666</v>
      </c>
      <c r="I9" s="10" t="s">
        <v>664</v>
      </c>
      <c r="J9" s="51" t="s">
        <v>672</v>
      </c>
    </row>
    <row r="10" customFormat="false" ht="15" hidden="false" customHeight="true" outlineLevel="0" collapsed="false">
      <c r="A10" s="10" t="n">
        <v>7</v>
      </c>
      <c r="B10" s="25" t="s">
        <v>169</v>
      </c>
      <c r="C10" s="33" t="n">
        <v>125</v>
      </c>
      <c r="D10" s="10" t="s">
        <v>662</v>
      </c>
      <c r="E10" s="26" t="s">
        <v>170</v>
      </c>
      <c r="F10" s="52" t="n">
        <f aca="false">ROUND(C10*0.01,1)</f>
        <v>1.3</v>
      </c>
      <c r="G10" s="52" t="n">
        <f aca="false">ROUND(C10*0.01,1)</f>
        <v>1.3</v>
      </c>
      <c r="H10" s="14" t="s">
        <v>666</v>
      </c>
      <c r="I10" s="10" t="s">
        <v>664</v>
      </c>
      <c r="J10" s="51" t="s">
        <v>673</v>
      </c>
    </row>
    <row r="11" customFormat="false" ht="15" hidden="false" customHeight="true" outlineLevel="0" collapsed="false">
      <c r="A11" s="10" t="n">
        <v>8</v>
      </c>
      <c r="B11" s="11" t="s">
        <v>308</v>
      </c>
      <c r="C11" s="33" t="n">
        <v>330</v>
      </c>
      <c r="D11" s="10" t="s">
        <v>669</v>
      </c>
      <c r="E11" s="15" t="s">
        <v>148</v>
      </c>
      <c r="F11" s="50" t="n">
        <f aca="false">ROUND(C11*0.02,1)</f>
        <v>6.6</v>
      </c>
      <c r="G11" s="50" t="n">
        <f aca="false">ROUND(C11*0.02,1)</f>
        <v>6.6</v>
      </c>
      <c r="H11" s="14" t="s">
        <v>674</v>
      </c>
      <c r="I11" s="10" t="s">
        <v>664</v>
      </c>
      <c r="J11" s="51" t="s">
        <v>675</v>
      </c>
    </row>
    <row r="12" customFormat="false" ht="15" hidden="false" customHeight="true" outlineLevel="0" collapsed="false">
      <c r="A12" s="10" t="n">
        <v>9</v>
      </c>
      <c r="B12" s="11" t="s">
        <v>309</v>
      </c>
      <c r="C12" s="33" t="n">
        <v>660</v>
      </c>
      <c r="D12" s="10" t="s">
        <v>669</v>
      </c>
      <c r="E12" s="15" t="s">
        <v>148</v>
      </c>
      <c r="F12" s="50" t="n">
        <f aca="false">ROUND(C12*0.03,1)</f>
        <v>19.8</v>
      </c>
      <c r="G12" s="50" t="n">
        <f aca="false">ROUND(C12*0.03,1)</f>
        <v>19.8</v>
      </c>
      <c r="H12" s="14" t="s">
        <v>676</v>
      </c>
      <c r="I12" s="10" t="s">
        <v>664</v>
      </c>
      <c r="J12" s="51" t="s">
        <v>675</v>
      </c>
    </row>
    <row r="13" customFormat="false" ht="15" hidden="false" customHeight="true" outlineLevel="0" collapsed="false">
      <c r="A13" s="10" t="n">
        <v>10</v>
      </c>
      <c r="B13" s="11" t="s">
        <v>174</v>
      </c>
      <c r="C13" s="33" t="n">
        <v>600</v>
      </c>
      <c r="D13" s="10" t="s">
        <v>669</v>
      </c>
      <c r="E13" s="15" t="s">
        <v>148</v>
      </c>
      <c r="F13" s="50" t="n">
        <f aca="false">ROUND(C13*0.02,1)</f>
        <v>12</v>
      </c>
      <c r="G13" s="50" t="n">
        <f aca="false">ROUND(C13*0.02,1)</f>
        <v>12</v>
      </c>
      <c r="H13" s="14" t="s">
        <v>674</v>
      </c>
      <c r="I13" s="10" t="s">
        <v>664</v>
      </c>
      <c r="J13" s="51" t="s">
        <v>677</v>
      </c>
    </row>
    <row r="14" customFormat="false" ht="15" hidden="false" customHeight="true" outlineLevel="0" collapsed="false">
      <c r="A14" s="10" t="n">
        <v>11</v>
      </c>
      <c r="B14" s="11" t="s">
        <v>228</v>
      </c>
      <c r="C14" s="33" t="n">
        <v>830</v>
      </c>
      <c r="D14" s="10" t="s">
        <v>669</v>
      </c>
      <c r="E14" s="15" t="s">
        <v>148</v>
      </c>
      <c r="F14" s="50" t="n">
        <f aca="false">ROUND(C14*0.03,1)</f>
        <v>24.9</v>
      </c>
      <c r="G14" s="50" t="n">
        <f aca="false">ROUND(C14*0.03,1)</f>
        <v>24.9</v>
      </c>
      <c r="H14" s="14" t="s">
        <v>678</v>
      </c>
      <c r="I14" s="10" t="s">
        <v>664</v>
      </c>
      <c r="J14" s="51" t="s">
        <v>679</v>
      </c>
    </row>
    <row r="15" customFormat="false" ht="15" hidden="false" customHeight="true" outlineLevel="0" collapsed="false">
      <c r="A15" s="10" t="n">
        <v>12</v>
      </c>
      <c r="B15" s="20" t="s">
        <v>680</v>
      </c>
      <c r="C15" s="33" t="n">
        <v>1148</v>
      </c>
      <c r="D15" s="10" t="s">
        <v>681</v>
      </c>
      <c r="E15" s="12" t="s">
        <v>144</v>
      </c>
      <c r="F15" s="53" t="n">
        <f aca="false">ROUND(C15*0.05,1)</f>
        <v>57.4</v>
      </c>
      <c r="G15" s="53" t="n">
        <f aca="false">ROUND(C15*0.05,1)</f>
        <v>57.4</v>
      </c>
      <c r="H15" s="14" t="s">
        <v>682</v>
      </c>
      <c r="I15" s="10" t="s">
        <v>683</v>
      </c>
      <c r="J15" s="51" t="s">
        <v>684</v>
      </c>
    </row>
    <row r="16" customFormat="false" ht="15" hidden="false" customHeight="true" outlineLevel="0" collapsed="false">
      <c r="A16" s="10" t="n">
        <v>13</v>
      </c>
      <c r="B16" s="20" t="s">
        <v>142</v>
      </c>
      <c r="C16" s="33" t="n">
        <v>595</v>
      </c>
      <c r="D16" s="10" t="s">
        <v>681</v>
      </c>
      <c r="E16" s="12" t="s">
        <v>144</v>
      </c>
      <c r="F16" s="53" t="n">
        <f aca="false">ROUND(C16*0.05,1)</f>
        <v>29.8</v>
      </c>
      <c r="G16" s="53" t="n">
        <f aca="false">ROUND(C16*0.05,1)</f>
        <v>29.8</v>
      </c>
      <c r="H16" s="14" t="s">
        <v>685</v>
      </c>
      <c r="I16" s="10" t="s">
        <v>683</v>
      </c>
      <c r="J16" s="51" t="s">
        <v>665</v>
      </c>
    </row>
    <row r="17" customFormat="false" ht="15" hidden="false" customHeight="true" outlineLevel="0" collapsed="false">
      <c r="A17" s="10" t="n">
        <v>14</v>
      </c>
      <c r="B17" s="20" t="s">
        <v>159</v>
      </c>
      <c r="C17" s="33" t="n">
        <v>375</v>
      </c>
      <c r="D17" s="10" t="s">
        <v>681</v>
      </c>
      <c r="E17" s="12" t="s">
        <v>144</v>
      </c>
      <c r="F17" s="53" t="n">
        <f aca="false">ROUND(C17*0.05,1)</f>
        <v>18.8</v>
      </c>
      <c r="G17" s="53" t="n">
        <f aca="false">ROUND(C17*0.05,1)</f>
        <v>18.8</v>
      </c>
      <c r="H17" s="14" t="s">
        <v>685</v>
      </c>
      <c r="I17" s="10" t="s">
        <v>683</v>
      </c>
      <c r="J17" s="51" t="s">
        <v>665</v>
      </c>
    </row>
    <row r="18" customFormat="false" ht="15" hidden="false" customHeight="true" outlineLevel="0" collapsed="false">
      <c r="A18" s="10" t="n">
        <v>15</v>
      </c>
      <c r="B18" s="20" t="s">
        <v>686</v>
      </c>
      <c r="C18" s="33" t="n">
        <v>657</v>
      </c>
      <c r="D18" s="10" t="s">
        <v>687</v>
      </c>
      <c r="E18" s="12" t="s">
        <v>144</v>
      </c>
      <c r="F18" s="53" t="n">
        <f aca="false">ROUND(C18*0.08,1)</f>
        <v>52.6</v>
      </c>
      <c r="G18" s="53" t="n">
        <f aca="false">ROUND(C18*0.08,1)</f>
        <v>52.6</v>
      </c>
      <c r="H18" s="14" t="s">
        <v>688</v>
      </c>
      <c r="I18" s="10" t="s">
        <v>689</v>
      </c>
      <c r="J18" s="51" t="s">
        <v>690</v>
      </c>
    </row>
    <row r="19" customFormat="false" ht="15" hidden="false" customHeight="true" outlineLevel="0" collapsed="false">
      <c r="A19" s="10" t="n">
        <v>16</v>
      </c>
      <c r="B19" s="27" t="s">
        <v>160</v>
      </c>
      <c r="C19" s="33" t="n">
        <v>305</v>
      </c>
      <c r="D19" s="10" t="s">
        <v>161</v>
      </c>
      <c r="E19" s="16" t="s">
        <v>161</v>
      </c>
      <c r="F19" s="54" t="n">
        <f aca="false">ROUND(C19*0.15,1)</f>
        <v>45.8</v>
      </c>
      <c r="G19" s="54" t="n">
        <f aca="false">ROUND(C19*0.15,1)</f>
        <v>45.8</v>
      </c>
      <c r="H19" s="14" t="s">
        <v>691</v>
      </c>
      <c r="I19" s="10" t="s">
        <v>692</v>
      </c>
      <c r="J19" s="51" t="s">
        <v>665</v>
      </c>
    </row>
    <row r="20" customFormat="false" ht="15" hidden="false" customHeight="true" outlineLevel="0" collapsed="false">
      <c r="A20" s="10" t="n">
        <v>17</v>
      </c>
      <c r="B20" s="27" t="s">
        <v>162</v>
      </c>
      <c r="C20" s="33" t="n">
        <v>242</v>
      </c>
      <c r="D20" s="10" t="s">
        <v>161</v>
      </c>
      <c r="E20" s="16" t="s">
        <v>161</v>
      </c>
      <c r="F20" s="54" t="n">
        <f aca="false">ROUND(C20*0.15,1)</f>
        <v>36.3</v>
      </c>
      <c r="G20" s="54" t="n">
        <f aca="false">ROUND(C20*0.15,1)</f>
        <v>36.3</v>
      </c>
      <c r="H20" s="14" t="s">
        <v>693</v>
      </c>
      <c r="I20" s="10" t="s">
        <v>692</v>
      </c>
      <c r="J20" s="51" t="s">
        <v>665</v>
      </c>
    </row>
    <row r="21" customFormat="false" ht="15" hidden="false" customHeight="true" outlineLevel="0" collapsed="false">
      <c r="A21" s="10" t="n">
        <v>18</v>
      </c>
      <c r="B21" s="27" t="s">
        <v>419</v>
      </c>
      <c r="C21" s="33" t="n">
        <v>1450</v>
      </c>
      <c r="D21" s="10" t="s">
        <v>161</v>
      </c>
      <c r="E21" s="16" t="s">
        <v>161</v>
      </c>
      <c r="F21" s="54" t="n">
        <f aca="false">ROUND(C21*0.15,1)</f>
        <v>217.5</v>
      </c>
      <c r="G21" s="54" t="n">
        <f aca="false">ROUND(C21*0.15,1)</f>
        <v>217.5</v>
      </c>
      <c r="H21" s="14" t="s">
        <v>693</v>
      </c>
      <c r="I21" s="10" t="s">
        <v>692</v>
      </c>
      <c r="J21" s="51" t="s">
        <v>694</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45"/>
    <col collapsed="false" customWidth="true" hidden="false" outlineLevel="0" max="3" min="3" style="1" width="55"/>
    <col collapsed="false" customWidth="true" hidden="false" outlineLevel="0" max="4" min="4" style="1" width="38"/>
    <col collapsed="false" customWidth="true" hidden="false" outlineLevel="0" max="5" min="5" style="1" width="40"/>
    <col collapsed="false" customWidth="true" hidden="false" outlineLevel="0" max="6" min="6" style="1" width="18"/>
    <col collapsed="false" customWidth="true" hidden="false" outlineLevel="0" max="7" min="7" style="1" width="20"/>
  </cols>
  <sheetData>
    <row r="1" customFormat="false" ht="30" hidden="false" customHeight="true" outlineLevel="0" collapsed="false">
      <c r="A1" s="55" t="s">
        <v>695</v>
      </c>
      <c r="B1" s="55"/>
      <c r="C1" s="55"/>
      <c r="D1" s="55"/>
      <c r="E1" s="55"/>
      <c r="F1" s="55"/>
      <c r="G1" s="55"/>
    </row>
    <row r="2" customFormat="false" ht="15" hidden="false" customHeight="true" outlineLevel="0" collapsed="false">
      <c r="A2" s="3" t="s">
        <v>132</v>
      </c>
      <c r="B2" s="3" t="s">
        <v>696</v>
      </c>
      <c r="C2" s="3" t="s">
        <v>697</v>
      </c>
      <c r="D2" s="3" t="s">
        <v>698</v>
      </c>
      <c r="E2" s="3" t="s">
        <v>699</v>
      </c>
      <c r="F2" s="3" t="s">
        <v>700</v>
      </c>
      <c r="G2" s="3" t="s">
        <v>5</v>
      </c>
    </row>
    <row r="3" customFormat="false" ht="42" hidden="false" customHeight="true" outlineLevel="0" collapsed="false">
      <c r="A3" s="10" t="n">
        <v>1</v>
      </c>
      <c r="B3" s="56" t="s">
        <v>701</v>
      </c>
      <c r="C3" s="4" t="s">
        <v>702</v>
      </c>
      <c r="D3" s="4" t="s">
        <v>703</v>
      </c>
      <c r="E3" s="56" t="s">
        <v>704</v>
      </c>
      <c r="F3" s="57" t="s">
        <v>705</v>
      </c>
      <c r="G3" s="58" t="s">
        <v>706</v>
      </c>
    </row>
    <row r="4" customFormat="false" ht="42" hidden="false" customHeight="true" outlineLevel="0" collapsed="false">
      <c r="A4" s="10" t="n">
        <v>2</v>
      </c>
      <c r="B4" s="56" t="s">
        <v>707</v>
      </c>
      <c r="C4" s="4" t="s">
        <v>708</v>
      </c>
      <c r="D4" s="4" t="s">
        <v>709</v>
      </c>
      <c r="E4" s="56" t="s">
        <v>710</v>
      </c>
      <c r="F4" s="57" t="s">
        <v>705</v>
      </c>
      <c r="G4" s="58" t="s">
        <v>706</v>
      </c>
    </row>
    <row r="5" customFormat="false" ht="42" hidden="false" customHeight="true" outlineLevel="0" collapsed="false">
      <c r="A5" s="10" t="n">
        <v>3</v>
      </c>
      <c r="B5" s="56" t="s">
        <v>711</v>
      </c>
      <c r="C5" s="4" t="s">
        <v>712</v>
      </c>
      <c r="D5" s="4" t="s">
        <v>713</v>
      </c>
      <c r="E5" s="56" t="s">
        <v>714</v>
      </c>
      <c r="F5" s="57" t="s">
        <v>705</v>
      </c>
      <c r="G5" s="58" t="s">
        <v>706</v>
      </c>
    </row>
    <row r="6" customFormat="false" ht="42" hidden="false" customHeight="true" outlineLevel="0" collapsed="false">
      <c r="A6" s="10" t="n">
        <v>4</v>
      </c>
      <c r="B6" s="56" t="s">
        <v>715</v>
      </c>
      <c r="C6" s="4" t="s">
        <v>716</v>
      </c>
      <c r="D6" s="4" t="s">
        <v>717</v>
      </c>
      <c r="E6" s="56" t="s">
        <v>718</v>
      </c>
      <c r="F6" s="57" t="s">
        <v>705</v>
      </c>
      <c r="G6" s="58" t="s">
        <v>706</v>
      </c>
    </row>
    <row r="7" customFormat="false" ht="42" hidden="false" customHeight="true" outlineLevel="0" collapsed="false">
      <c r="A7" s="10" t="n">
        <v>5</v>
      </c>
      <c r="B7" s="56" t="s">
        <v>719</v>
      </c>
      <c r="C7" s="4" t="s">
        <v>720</v>
      </c>
      <c r="D7" s="4" t="s">
        <v>721</v>
      </c>
      <c r="E7" s="56" t="s">
        <v>722</v>
      </c>
      <c r="F7" s="59" t="s">
        <v>723</v>
      </c>
      <c r="G7" s="60" t="s">
        <v>724</v>
      </c>
    </row>
    <row r="8" customFormat="false" ht="42" hidden="false" customHeight="true" outlineLevel="0" collapsed="false">
      <c r="A8" s="10" t="n">
        <v>6</v>
      </c>
      <c r="B8" s="56" t="s">
        <v>725</v>
      </c>
      <c r="C8" s="4" t="s">
        <v>726</v>
      </c>
      <c r="D8" s="4" t="s">
        <v>727</v>
      </c>
      <c r="E8" s="56" t="s">
        <v>728</v>
      </c>
      <c r="F8" s="59" t="s">
        <v>723</v>
      </c>
      <c r="G8" s="60" t="s">
        <v>729</v>
      </c>
    </row>
    <row r="9" customFormat="false" ht="42" hidden="false" customHeight="true" outlineLevel="0" collapsed="false">
      <c r="A9" s="10" t="n">
        <v>7</v>
      </c>
      <c r="B9" s="56" t="s">
        <v>730</v>
      </c>
      <c r="C9" s="4" t="s">
        <v>731</v>
      </c>
      <c r="D9" s="4" t="s">
        <v>732</v>
      </c>
      <c r="E9" s="56" t="s">
        <v>733</v>
      </c>
      <c r="F9" s="59" t="s">
        <v>723</v>
      </c>
      <c r="G9" s="61" t="s">
        <v>734</v>
      </c>
    </row>
    <row r="10" customFormat="false" ht="42" hidden="false" customHeight="true" outlineLevel="0" collapsed="false">
      <c r="A10" s="10" t="n">
        <v>8</v>
      </c>
      <c r="B10" s="56" t="s">
        <v>735</v>
      </c>
      <c r="C10" s="4" t="s">
        <v>736</v>
      </c>
      <c r="D10" s="4" t="s">
        <v>737</v>
      </c>
      <c r="E10" s="56" t="s">
        <v>738</v>
      </c>
      <c r="F10" s="59" t="s">
        <v>723</v>
      </c>
      <c r="G10" s="60" t="s">
        <v>739</v>
      </c>
    </row>
    <row r="11" customFormat="false" ht="42" hidden="false" customHeight="true" outlineLevel="0" collapsed="false">
      <c r="A11" s="10" t="n">
        <v>9</v>
      </c>
      <c r="B11" s="56" t="s">
        <v>740</v>
      </c>
      <c r="C11" s="4" t="s">
        <v>741</v>
      </c>
      <c r="D11" s="4" t="s">
        <v>742</v>
      </c>
      <c r="E11" s="56" t="s">
        <v>743</v>
      </c>
      <c r="F11" s="59" t="s">
        <v>723</v>
      </c>
      <c r="G11" s="58" t="s">
        <v>706</v>
      </c>
    </row>
    <row r="12" customFormat="false" ht="42" hidden="false" customHeight="true" outlineLevel="0" collapsed="false">
      <c r="A12" s="10" t="n">
        <v>10</v>
      </c>
      <c r="B12" s="56" t="s">
        <v>744</v>
      </c>
      <c r="C12" s="4" t="s">
        <v>745</v>
      </c>
      <c r="D12" s="4" t="s">
        <v>746</v>
      </c>
      <c r="E12" s="56" t="s">
        <v>747</v>
      </c>
      <c r="F12" s="59" t="s">
        <v>723</v>
      </c>
      <c r="G12" s="58" t="s">
        <v>706</v>
      </c>
    </row>
    <row r="13" customFormat="false" ht="42" hidden="false" customHeight="true" outlineLevel="0" collapsed="false">
      <c r="A13" s="10" t="n">
        <v>11</v>
      </c>
      <c r="B13" s="56" t="s">
        <v>748</v>
      </c>
      <c r="C13" s="4" t="s">
        <v>749</v>
      </c>
      <c r="D13" s="4" t="s">
        <v>750</v>
      </c>
      <c r="E13" s="56" t="s">
        <v>751</v>
      </c>
      <c r="F13" s="59" t="s">
        <v>723</v>
      </c>
      <c r="G13" s="58" t="s">
        <v>706</v>
      </c>
    </row>
    <row r="14" customFormat="false" ht="42" hidden="false" customHeight="true" outlineLevel="0" collapsed="false">
      <c r="A14" s="10" t="n">
        <v>12</v>
      </c>
      <c r="B14" s="56" t="s">
        <v>752</v>
      </c>
      <c r="C14" s="4" t="s">
        <v>753</v>
      </c>
      <c r="D14" s="4" t="s">
        <v>754</v>
      </c>
      <c r="E14" s="56" t="s">
        <v>755</v>
      </c>
      <c r="F14" s="59" t="s">
        <v>723</v>
      </c>
      <c r="G14" s="58" t="s">
        <v>706</v>
      </c>
    </row>
    <row r="15" customFormat="false" ht="42" hidden="false" customHeight="true" outlineLevel="0" collapsed="false">
      <c r="A15" s="10" t="n">
        <v>13</v>
      </c>
      <c r="B15" s="56" t="s">
        <v>756</v>
      </c>
      <c r="C15" s="4" t="s">
        <v>757</v>
      </c>
      <c r="D15" s="4" t="s">
        <v>758</v>
      </c>
      <c r="E15" s="56" t="s">
        <v>759</v>
      </c>
      <c r="F15" s="62" t="s">
        <v>760</v>
      </c>
      <c r="G15" s="58" t="s">
        <v>706</v>
      </c>
    </row>
    <row r="16" customFormat="false" ht="42" hidden="false" customHeight="true" outlineLevel="0" collapsed="false">
      <c r="A16" s="10" t="n">
        <v>14</v>
      </c>
      <c r="B16" s="56" t="s">
        <v>761</v>
      </c>
      <c r="C16" s="4" t="s">
        <v>762</v>
      </c>
      <c r="D16" s="4" t="s">
        <v>763</v>
      </c>
      <c r="E16" s="56" t="s">
        <v>764</v>
      </c>
      <c r="F16" s="62" t="s">
        <v>760</v>
      </c>
      <c r="G16" s="61" t="s">
        <v>765</v>
      </c>
    </row>
    <row r="17" customFormat="false" ht="42" hidden="false" customHeight="true" outlineLevel="0" collapsed="false">
      <c r="A17" s="10" t="n">
        <v>15</v>
      </c>
      <c r="B17" s="56" t="s">
        <v>766</v>
      </c>
      <c r="C17" s="4" t="s">
        <v>767</v>
      </c>
      <c r="D17" s="4" t="s">
        <v>768</v>
      </c>
      <c r="E17" s="56" t="s">
        <v>769</v>
      </c>
      <c r="F17" s="62" t="s">
        <v>760</v>
      </c>
      <c r="G17" s="60" t="s">
        <v>770</v>
      </c>
    </row>
    <row r="19" customFormat="false" ht="39.75" hidden="false" customHeight="true" outlineLevel="0" collapsed="false">
      <c r="A19" s="63" t="s">
        <v>771</v>
      </c>
      <c r="B19" s="63"/>
      <c r="C19" s="63"/>
      <c r="D19" s="63"/>
      <c r="E19" s="63"/>
      <c r="F19" s="63"/>
      <c r="G19" s="63"/>
    </row>
    <row r="21" customFormat="false" ht="39.75" hidden="false" customHeight="true" outlineLevel="0" collapsed="false">
      <c r="A21" s="64" t="s">
        <v>772</v>
      </c>
      <c r="B21" s="64"/>
      <c r="C21" s="64"/>
      <c r="D21" s="64"/>
      <c r="E21" s="64"/>
      <c r="F21" s="64"/>
      <c r="G21" s="64"/>
    </row>
    <row r="23" customFormat="false" ht="48" hidden="false" customHeight="true" outlineLevel="0" collapsed="false">
      <c r="A23" s="64" t="s">
        <v>773</v>
      </c>
      <c r="B23" s="64"/>
      <c r="C23" s="64"/>
      <c r="D23" s="64"/>
      <c r="E23" s="64"/>
      <c r="F23" s="64"/>
      <c r="G23" s="64"/>
    </row>
    <row r="25" customFormat="false" ht="51.75" hidden="false" customHeight="true" outlineLevel="0" collapsed="false">
      <c r="A25" s="63" t="s">
        <v>774</v>
      </c>
      <c r="B25" s="63"/>
      <c r="C25" s="63"/>
      <c r="D25" s="63"/>
      <c r="E25" s="63"/>
      <c r="F25" s="63"/>
      <c r="G25" s="63"/>
    </row>
  </sheetData>
  <mergeCells count="5">
    <mergeCell ref="A1:G1"/>
    <mergeCell ref="A19:G19"/>
    <mergeCell ref="A21:G21"/>
    <mergeCell ref="A23:G23"/>
    <mergeCell ref="A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0"/>
    <col collapsed="false" customWidth="true" hidden="false" outlineLevel="0" max="3" min="3" style="1" width="10"/>
    <col collapsed="false" customWidth="true" hidden="false" outlineLevel="0" max="4" min="4" style="1" width="14"/>
    <col collapsed="false" customWidth="true" hidden="false" outlineLevel="0" max="5" min="5" style="1" width="13"/>
    <col collapsed="false" customWidth="true" hidden="false" outlineLevel="0" max="6" min="6" style="1" width="14"/>
    <col collapsed="false" customWidth="true" hidden="false" outlineLevel="0" max="7" min="7" style="1" width="13"/>
    <col collapsed="false" customWidth="true" hidden="false" outlineLevel="0" max="8" min="8" style="1" width="10"/>
    <col collapsed="false" customWidth="true" hidden="false" outlineLevel="0" max="9" min="9" style="1" width="13"/>
    <col collapsed="false" customWidth="true" hidden="false" outlineLevel="0" max="11" min="10" style="1" width="16"/>
    <col collapsed="false" customWidth="true" hidden="false" outlineLevel="0" max="12" min="12" style="1" width="11"/>
  </cols>
  <sheetData>
    <row r="1" customFormat="false" ht="27.75" hidden="false" customHeight="true" outlineLevel="0" collapsed="false">
      <c r="A1" s="8" t="s">
        <v>775</v>
      </c>
      <c r="B1" s="8"/>
      <c r="C1" s="8"/>
      <c r="D1" s="8"/>
      <c r="E1" s="8"/>
      <c r="F1" s="8"/>
      <c r="G1" s="8"/>
      <c r="H1" s="8"/>
      <c r="I1" s="8"/>
      <c r="J1" s="8"/>
      <c r="K1" s="8"/>
      <c r="L1" s="8"/>
    </row>
    <row r="2" customFormat="false" ht="36" hidden="false" customHeight="true" outlineLevel="0" collapsed="false">
      <c r="A2" s="3" t="s">
        <v>132</v>
      </c>
      <c r="B2" s="3" t="s">
        <v>395</v>
      </c>
      <c r="C2" s="3" t="s">
        <v>263</v>
      </c>
      <c r="D2" s="3" t="s">
        <v>776</v>
      </c>
      <c r="E2" s="3" t="s">
        <v>777</v>
      </c>
      <c r="F2" s="3" t="s">
        <v>778</v>
      </c>
      <c r="G2" s="3" t="s">
        <v>779</v>
      </c>
      <c r="H2" s="3" t="s">
        <v>780</v>
      </c>
      <c r="I2" s="3" t="s">
        <v>781</v>
      </c>
      <c r="J2" s="3" t="s">
        <v>782</v>
      </c>
      <c r="K2" s="3" t="s">
        <v>783</v>
      </c>
      <c r="L2" s="3" t="s">
        <v>784</v>
      </c>
    </row>
    <row r="3" customFormat="false" ht="15" hidden="false" customHeight="true" outlineLevel="0" collapsed="false">
      <c r="A3" s="15" t="n">
        <v>1</v>
      </c>
      <c r="B3" s="11" t="s">
        <v>785</v>
      </c>
      <c r="C3" s="15" t="s">
        <v>786</v>
      </c>
      <c r="D3" s="65" t="n">
        <v>362</v>
      </c>
      <c r="E3" s="66" t="n">
        <v>348</v>
      </c>
      <c r="F3" s="66" t="n">
        <v>358</v>
      </c>
      <c r="G3" s="66" t="n">
        <v>362</v>
      </c>
      <c r="H3" s="15" t="s">
        <v>787</v>
      </c>
      <c r="I3" s="66" t="n">
        <v>225</v>
      </c>
      <c r="J3" s="65" t="n">
        <v>7.4</v>
      </c>
      <c r="K3" s="65" t="n">
        <v>6.73</v>
      </c>
      <c r="L3" s="66" t="n">
        <v>280</v>
      </c>
    </row>
    <row r="4" customFormat="false" ht="15" hidden="false" customHeight="true" outlineLevel="0" collapsed="false">
      <c r="A4" s="15" t="n">
        <v>2</v>
      </c>
      <c r="B4" s="11" t="s">
        <v>788</v>
      </c>
      <c r="C4" s="15" t="s">
        <v>786</v>
      </c>
      <c r="D4" s="65" t="n">
        <v>250</v>
      </c>
      <c r="E4" s="66" t="n">
        <v>102</v>
      </c>
      <c r="F4" s="66" t="n">
        <v>120</v>
      </c>
      <c r="G4" s="66" t="n">
        <v>162</v>
      </c>
      <c r="H4" s="15" t="s">
        <v>789</v>
      </c>
      <c r="I4" s="66" t="n">
        <v>105</v>
      </c>
      <c r="J4" s="65" t="n">
        <v>3.13</v>
      </c>
      <c r="K4" s="65" t="n">
        <v>2.67</v>
      </c>
      <c r="L4" s="66" t="n">
        <v>111</v>
      </c>
    </row>
    <row r="5" customFormat="false" ht="15" hidden="false" customHeight="true" outlineLevel="0" collapsed="false">
      <c r="A5" s="15" t="n">
        <v>3</v>
      </c>
      <c r="B5" s="11" t="s">
        <v>790</v>
      </c>
      <c r="C5" s="15" t="s">
        <v>786</v>
      </c>
      <c r="D5" s="65" t="n">
        <v>4620</v>
      </c>
      <c r="E5" s="66" t="n">
        <v>3391</v>
      </c>
      <c r="F5" s="66" t="n">
        <v>2996</v>
      </c>
      <c r="G5" s="66" t="n">
        <v>4019</v>
      </c>
      <c r="H5" s="15" t="s">
        <v>791</v>
      </c>
      <c r="I5" s="66" t="n">
        <v>2391</v>
      </c>
      <c r="J5" s="65" t="n">
        <v>77.35</v>
      </c>
      <c r="K5" s="65" t="n">
        <v>70.84</v>
      </c>
      <c r="L5" s="66" t="n">
        <v>2952</v>
      </c>
    </row>
    <row r="6" customFormat="false" ht="15" hidden="false" customHeight="true" outlineLevel="0" collapsed="false">
      <c r="A6" s="15" t="n">
        <v>4</v>
      </c>
      <c r="B6" s="11" t="s">
        <v>792</v>
      </c>
      <c r="C6" s="15" t="s">
        <v>786</v>
      </c>
      <c r="D6" s="65" t="n">
        <v>500</v>
      </c>
      <c r="E6" s="66" t="n">
        <v>304</v>
      </c>
      <c r="F6" s="66" t="n">
        <v>247</v>
      </c>
      <c r="G6" s="66" t="n">
        <v>316</v>
      </c>
      <c r="H6" s="15" t="s">
        <v>793</v>
      </c>
      <c r="I6" s="66" t="n">
        <v>236</v>
      </c>
      <c r="J6" s="65" t="n">
        <v>6.89</v>
      </c>
      <c r="K6" s="65" t="n">
        <v>5.73</v>
      </c>
      <c r="L6" s="66" t="n">
        <v>239</v>
      </c>
    </row>
    <row r="7" customFormat="false" ht="15" hidden="false" customHeight="true" outlineLevel="0" collapsed="false">
      <c r="A7" s="15" t="n">
        <v>5</v>
      </c>
      <c r="B7" s="11" t="s">
        <v>794</v>
      </c>
      <c r="C7" s="15" t="s">
        <v>786</v>
      </c>
      <c r="D7" s="65" t="n">
        <v>630</v>
      </c>
      <c r="E7" s="66" t="n">
        <v>0</v>
      </c>
      <c r="F7" s="66" t="n">
        <v>0</v>
      </c>
      <c r="G7" s="66" t="n">
        <v>0</v>
      </c>
      <c r="H7" s="15" t="s">
        <v>795</v>
      </c>
      <c r="I7" s="66" t="n">
        <v>0</v>
      </c>
      <c r="J7" s="65" t="n">
        <v>0</v>
      </c>
      <c r="K7" s="65" t="n">
        <v>0</v>
      </c>
      <c r="L7" s="66" t="n">
        <v>0</v>
      </c>
    </row>
    <row r="8" customFormat="false" ht="15" hidden="false" customHeight="true" outlineLevel="0" collapsed="false">
      <c r="A8" s="15" t="n">
        <v>6</v>
      </c>
      <c r="B8" s="11" t="s">
        <v>269</v>
      </c>
      <c r="C8" s="15" t="s">
        <v>786</v>
      </c>
      <c r="D8" s="65" t="n">
        <v>150</v>
      </c>
      <c r="E8" s="66" t="n">
        <v>64</v>
      </c>
      <c r="F8" s="66" t="n">
        <v>59</v>
      </c>
      <c r="G8" s="66" t="n">
        <v>65</v>
      </c>
      <c r="H8" s="15" t="s">
        <v>796</v>
      </c>
      <c r="I8" s="66" t="n">
        <v>57</v>
      </c>
      <c r="J8" s="65" t="n">
        <v>1.51</v>
      </c>
      <c r="K8" s="65" t="n">
        <v>1.33</v>
      </c>
      <c r="L8" s="66" t="n">
        <v>55</v>
      </c>
    </row>
    <row r="9" customFormat="false" ht="15" hidden="false" customHeight="true" outlineLevel="0" collapsed="false">
      <c r="A9" s="15" t="n">
        <v>7</v>
      </c>
      <c r="B9" s="11" t="s">
        <v>797</v>
      </c>
      <c r="C9" s="15" t="s">
        <v>786</v>
      </c>
      <c r="D9" s="65" t="n">
        <v>1000</v>
      </c>
      <c r="E9" s="66" t="n">
        <v>0</v>
      </c>
      <c r="F9" s="66" t="n">
        <v>0</v>
      </c>
      <c r="G9" s="66" t="n">
        <v>0</v>
      </c>
      <c r="H9" s="15" t="s">
        <v>42</v>
      </c>
      <c r="I9" s="66" t="n">
        <v>0</v>
      </c>
      <c r="J9" s="65" t="n">
        <v>7.2</v>
      </c>
      <c r="K9" s="65" t="n">
        <v>5.94</v>
      </c>
      <c r="L9" s="66" t="n">
        <v>248</v>
      </c>
    </row>
    <row r="10" customFormat="false" ht="15" hidden="false" customHeight="true" outlineLevel="0" collapsed="false">
      <c r="A10" s="15" t="n">
        <v>8</v>
      </c>
      <c r="B10" s="11" t="s">
        <v>169</v>
      </c>
      <c r="C10" s="15" t="s">
        <v>786</v>
      </c>
      <c r="D10" s="65" t="n">
        <v>500</v>
      </c>
      <c r="E10" s="66" t="n">
        <v>380</v>
      </c>
      <c r="F10" s="66" t="n">
        <v>336</v>
      </c>
      <c r="G10" s="66" t="n">
        <v>404</v>
      </c>
      <c r="H10" s="15" t="s">
        <v>798</v>
      </c>
      <c r="I10" s="66" t="n">
        <v>258</v>
      </c>
      <c r="J10" s="65" t="n">
        <v>9.41</v>
      </c>
      <c r="K10" s="65" t="n">
        <v>8.15</v>
      </c>
      <c r="L10" s="66" t="n">
        <v>340</v>
      </c>
    </row>
    <row r="11" customFormat="false" ht="15" hidden="false" customHeight="true" outlineLevel="0" collapsed="false">
      <c r="A11" s="15" t="n">
        <v>9</v>
      </c>
      <c r="B11" s="11" t="s">
        <v>799</v>
      </c>
      <c r="C11" s="15" t="s">
        <v>786</v>
      </c>
      <c r="D11" s="65" t="n">
        <v>500</v>
      </c>
      <c r="E11" s="66" t="n">
        <v>0</v>
      </c>
      <c r="F11" s="66" t="n">
        <v>0</v>
      </c>
      <c r="G11" s="66" t="n">
        <v>0</v>
      </c>
      <c r="H11" s="15" t="s">
        <v>795</v>
      </c>
      <c r="I11" s="66" t="n">
        <v>0</v>
      </c>
      <c r="J11" s="65" t="n">
        <v>0</v>
      </c>
      <c r="K11" s="65" t="n">
        <v>0</v>
      </c>
      <c r="L11" s="66" t="n">
        <v>0</v>
      </c>
    </row>
    <row r="12" customFormat="false" ht="15" hidden="false" customHeight="true" outlineLevel="0" collapsed="false">
      <c r="A12" s="15" t="n">
        <v>10</v>
      </c>
      <c r="B12" s="11" t="s">
        <v>147</v>
      </c>
      <c r="C12" s="15" t="s">
        <v>786</v>
      </c>
      <c r="D12" s="65" t="n">
        <v>1110</v>
      </c>
      <c r="E12" s="66" t="n">
        <v>680</v>
      </c>
      <c r="F12" s="66" t="n">
        <v>496</v>
      </c>
      <c r="G12" s="66" t="n">
        <v>687</v>
      </c>
      <c r="H12" s="15" t="s">
        <v>800</v>
      </c>
      <c r="I12" s="66" t="n">
        <v>387</v>
      </c>
      <c r="J12" s="65" t="n">
        <v>13.39</v>
      </c>
      <c r="K12" s="65" t="n">
        <v>12.36</v>
      </c>
      <c r="L12" s="66" t="n">
        <v>515</v>
      </c>
    </row>
    <row r="13" customFormat="false" ht="15" hidden="false" customHeight="true" outlineLevel="0" collapsed="false">
      <c r="A13" s="15" t="n">
        <v>11</v>
      </c>
      <c r="B13" s="11" t="s">
        <v>801</v>
      </c>
      <c r="C13" s="15" t="s">
        <v>786</v>
      </c>
      <c r="D13" s="65" t="n">
        <v>1200</v>
      </c>
      <c r="E13" s="66" t="n">
        <v>723</v>
      </c>
      <c r="F13" s="66" t="n">
        <v>621</v>
      </c>
      <c r="G13" s="66" t="n">
        <v>1132</v>
      </c>
      <c r="H13" s="15" t="s">
        <v>802</v>
      </c>
      <c r="I13" s="66" t="n">
        <v>606</v>
      </c>
      <c r="J13" s="65" t="n">
        <v>19.09</v>
      </c>
      <c r="K13" s="65" t="n">
        <v>17.86</v>
      </c>
      <c r="L13" s="66" t="n">
        <v>744</v>
      </c>
    </row>
    <row r="14" customFormat="false" ht="15" hidden="false" customHeight="true" outlineLevel="0" collapsed="false">
      <c r="A14" s="15" t="n">
        <v>12</v>
      </c>
      <c r="B14" s="11" t="s">
        <v>152</v>
      </c>
      <c r="C14" s="15" t="s">
        <v>786</v>
      </c>
      <c r="D14" s="65" t="n">
        <v>2270</v>
      </c>
      <c r="E14" s="66" t="n">
        <v>1094</v>
      </c>
      <c r="F14" s="66" t="n">
        <v>910</v>
      </c>
      <c r="G14" s="66" t="n">
        <v>1133</v>
      </c>
      <c r="H14" s="15" t="s">
        <v>795</v>
      </c>
      <c r="I14" s="66" t="n">
        <v>680</v>
      </c>
      <c r="J14" s="65" t="n">
        <v>22.01</v>
      </c>
      <c r="K14" s="65" t="n">
        <v>20.37</v>
      </c>
      <c r="L14" s="66" t="n">
        <v>849</v>
      </c>
    </row>
    <row r="15" customFormat="false" ht="15" hidden="false" customHeight="true" outlineLevel="0" collapsed="false">
      <c r="A15" s="12" t="n">
        <v>13</v>
      </c>
      <c r="B15" s="20" t="s">
        <v>803</v>
      </c>
      <c r="C15" s="12" t="s">
        <v>144</v>
      </c>
      <c r="D15" s="67" t="n">
        <v>594</v>
      </c>
      <c r="E15" s="68" t="n">
        <v>0</v>
      </c>
      <c r="F15" s="68" t="n">
        <v>0</v>
      </c>
      <c r="G15" s="68" t="n">
        <v>0</v>
      </c>
      <c r="H15" s="12" t="s">
        <v>795</v>
      </c>
      <c r="I15" s="68" t="n">
        <v>0</v>
      </c>
      <c r="J15" s="67" t="n">
        <v>0</v>
      </c>
      <c r="K15" s="67" t="n">
        <v>0</v>
      </c>
      <c r="L15" s="68" t="n">
        <v>0</v>
      </c>
    </row>
    <row r="16" customFormat="false" ht="15" hidden="false" customHeight="true" outlineLevel="0" collapsed="false">
      <c r="A16" s="12" t="n">
        <v>14</v>
      </c>
      <c r="B16" s="20" t="s">
        <v>804</v>
      </c>
      <c r="C16" s="12" t="s">
        <v>144</v>
      </c>
      <c r="D16" s="67" t="n">
        <v>515</v>
      </c>
      <c r="E16" s="68" t="n">
        <v>0</v>
      </c>
      <c r="F16" s="68" t="n">
        <v>0</v>
      </c>
      <c r="G16" s="68" t="n">
        <v>0</v>
      </c>
      <c r="H16" s="12" t="s">
        <v>42</v>
      </c>
      <c r="I16" s="68" t="n">
        <v>0</v>
      </c>
      <c r="J16" s="67" t="n">
        <v>0</v>
      </c>
      <c r="K16" s="67" t="n">
        <v>0</v>
      </c>
      <c r="L16" s="68" t="n">
        <v>0</v>
      </c>
    </row>
    <row r="17" customFormat="false" ht="15" hidden="false" customHeight="true" outlineLevel="0" collapsed="false">
      <c r="A17" s="12" t="n">
        <v>15</v>
      </c>
      <c r="B17" s="20" t="s">
        <v>805</v>
      </c>
      <c r="C17" s="12" t="s">
        <v>144</v>
      </c>
      <c r="D17" s="67" t="n">
        <v>145</v>
      </c>
      <c r="E17" s="68" t="n">
        <v>0</v>
      </c>
      <c r="F17" s="68" t="n">
        <v>0</v>
      </c>
      <c r="G17" s="68" t="n">
        <v>0</v>
      </c>
      <c r="H17" s="12" t="s">
        <v>795</v>
      </c>
      <c r="I17" s="68" t="n">
        <v>0</v>
      </c>
      <c r="J17" s="67" t="n">
        <v>0</v>
      </c>
      <c r="K17" s="67" t="n">
        <v>0</v>
      </c>
      <c r="L17" s="68" t="n">
        <v>0</v>
      </c>
    </row>
    <row r="18" customFormat="false" ht="15" hidden="false" customHeight="true" outlineLevel="0" collapsed="false">
      <c r="A18" s="12" t="n">
        <v>16</v>
      </c>
      <c r="B18" s="20" t="s">
        <v>806</v>
      </c>
      <c r="C18" s="12" t="s">
        <v>144</v>
      </c>
      <c r="D18" s="67" t="n">
        <v>165</v>
      </c>
      <c r="E18" s="68" t="n">
        <v>0</v>
      </c>
      <c r="F18" s="68" t="n">
        <v>0</v>
      </c>
      <c r="G18" s="68" t="n">
        <v>0</v>
      </c>
      <c r="H18" s="12" t="s">
        <v>795</v>
      </c>
      <c r="I18" s="68" t="n">
        <v>0</v>
      </c>
      <c r="J18" s="67" t="n">
        <v>0</v>
      </c>
      <c r="K18" s="67" t="n">
        <v>0</v>
      </c>
      <c r="L18" s="68" t="n">
        <v>0</v>
      </c>
    </row>
    <row r="19" customFormat="false" ht="15" hidden="false" customHeight="true" outlineLevel="0" collapsed="false">
      <c r="A19" s="12" t="n">
        <v>17</v>
      </c>
      <c r="B19" s="20" t="s">
        <v>807</v>
      </c>
      <c r="C19" s="12" t="s">
        <v>144</v>
      </c>
      <c r="D19" s="67" t="n">
        <v>654</v>
      </c>
      <c r="E19" s="68" t="n">
        <v>0</v>
      </c>
      <c r="F19" s="68" t="n">
        <v>0</v>
      </c>
      <c r="G19" s="68" t="n">
        <v>0</v>
      </c>
      <c r="H19" s="12" t="s">
        <v>42</v>
      </c>
      <c r="I19" s="68" t="n">
        <v>0</v>
      </c>
      <c r="J19" s="67" t="n">
        <v>0</v>
      </c>
      <c r="K19" s="67" t="n">
        <v>0</v>
      </c>
      <c r="L19" s="68" t="n">
        <v>0</v>
      </c>
    </row>
    <row r="20" customFormat="false" ht="15" hidden="false" customHeight="true" outlineLevel="0" collapsed="false">
      <c r="A20" s="12" t="n">
        <v>18</v>
      </c>
      <c r="B20" s="20" t="s">
        <v>808</v>
      </c>
      <c r="C20" s="12" t="s">
        <v>144</v>
      </c>
      <c r="D20" s="67" t="n">
        <v>702</v>
      </c>
      <c r="E20" s="68" t="n">
        <v>0</v>
      </c>
      <c r="F20" s="68" t="n">
        <v>0</v>
      </c>
      <c r="G20" s="68" t="n">
        <v>0</v>
      </c>
      <c r="H20" s="12" t="s">
        <v>795</v>
      </c>
      <c r="I20" s="68" t="n">
        <v>0</v>
      </c>
      <c r="J20" s="67" t="n">
        <v>0</v>
      </c>
      <c r="K20" s="67" t="n">
        <v>0</v>
      </c>
      <c r="L20" s="68" t="n">
        <v>0</v>
      </c>
    </row>
    <row r="21" customFormat="false" ht="15" hidden="false" customHeight="true" outlineLevel="0" collapsed="false">
      <c r="A21" s="12" t="n">
        <v>19</v>
      </c>
      <c r="B21" s="20" t="s">
        <v>809</v>
      </c>
      <c r="C21" s="12" t="s">
        <v>144</v>
      </c>
      <c r="D21" s="67" t="n">
        <v>156</v>
      </c>
      <c r="E21" s="68" t="n">
        <v>0</v>
      </c>
      <c r="F21" s="68" t="n">
        <v>0</v>
      </c>
      <c r="G21" s="68" t="n">
        <v>0</v>
      </c>
      <c r="H21" s="12" t="s">
        <v>795</v>
      </c>
      <c r="I21" s="68" t="n">
        <v>0</v>
      </c>
      <c r="J21" s="67" t="n">
        <v>0</v>
      </c>
      <c r="K21" s="67" t="n">
        <v>0</v>
      </c>
      <c r="L21" s="68" t="n">
        <v>0</v>
      </c>
    </row>
    <row r="22" customFormat="false" ht="15" hidden="false" customHeight="true" outlineLevel="0" collapsed="false">
      <c r="A22" s="12" t="n">
        <v>20</v>
      </c>
      <c r="B22" s="20" t="s">
        <v>810</v>
      </c>
      <c r="C22" s="12" t="s">
        <v>144</v>
      </c>
      <c r="D22" s="67" t="n">
        <v>1148</v>
      </c>
      <c r="E22" s="68" t="n">
        <v>648</v>
      </c>
      <c r="F22" s="68" t="n">
        <v>181</v>
      </c>
      <c r="G22" s="68" t="n">
        <v>649</v>
      </c>
      <c r="H22" s="12" t="s">
        <v>811</v>
      </c>
      <c r="I22" s="68" t="n">
        <v>-2</v>
      </c>
      <c r="J22" s="67" t="n">
        <v>5.69</v>
      </c>
      <c r="K22" s="67" t="n">
        <v>5.46</v>
      </c>
      <c r="L22" s="68" t="n">
        <v>228</v>
      </c>
    </row>
    <row r="23" customFormat="false" ht="15" hidden="false" customHeight="true" outlineLevel="0" collapsed="false">
      <c r="A23" s="12" t="n">
        <v>21</v>
      </c>
      <c r="B23" s="20" t="s">
        <v>812</v>
      </c>
      <c r="C23" s="12" t="s">
        <v>144</v>
      </c>
      <c r="D23" s="67" t="n">
        <v>383</v>
      </c>
      <c r="E23" s="68" t="n">
        <v>-1</v>
      </c>
      <c r="F23" s="68" t="n">
        <v>-2</v>
      </c>
      <c r="G23" s="68" t="n">
        <v>274</v>
      </c>
      <c r="H23" s="12" t="s">
        <v>795</v>
      </c>
      <c r="I23" s="68" t="n">
        <v>-2</v>
      </c>
      <c r="J23" s="67" t="n">
        <v>0.15</v>
      </c>
      <c r="K23" s="67" t="n">
        <v>0.1</v>
      </c>
      <c r="L23" s="68" t="n">
        <v>4</v>
      </c>
    </row>
    <row r="24" customFormat="false" ht="15" hidden="false" customHeight="true" outlineLevel="0" collapsed="false">
      <c r="A24" s="12" t="n">
        <v>22</v>
      </c>
      <c r="B24" s="20" t="s">
        <v>813</v>
      </c>
      <c r="C24" s="12" t="s">
        <v>144</v>
      </c>
      <c r="D24" s="67" t="n">
        <v>375</v>
      </c>
      <c r="E24" s="68" t="n">
        <v>0</v>
      </c>
      <c r="F24" s="68" t="n">
        <v>0</v>
      </c>
      <c r="G24" s="68" t="n">
        <v>0</v>
      </c>
      <c r="H24" s="12" t="s">
        <v>795</v>
      </c>
      <c r="I24" s="68" t="n">
        <v>0</v>
      </c>
      <c r="J24" s="67" t="n">
        <v>0</v>
      </c>
      <c r="K24" s="67" t="n">
        <v>0</v>
      </c>
      <c r="L24" s="68" t="n">
        <v>0</v>
      </c>
    </row>
    <row r="25" customFormat="false" ht="15" hidden="false" customHeight="true" outlineLevel="0" collapsed="false">
      <c r="A25" s="16" t="n">
        <v>23</v>
      </c>
      <c r="B25" s="27" t="s">
        <v>162</v>
      </c>
      <c r="C25" s="16" t="s">
        <v>161</v>
      </c>
      <c r="D25" s="69" t="n">
        <v>240</v>
      </c>
      <c r="E25" s="70" t="n">
        <v>53</v>
      </c>
      <c r="F25" s="70" t="n">
        <v>50</v>
      </c>
      <c r="G25" s="70" t="n">
        <v>54</v>
      </c>
      <c r="H25" s="16" t="s">
        <v>814</v>
      </c>
      <c r="I25" s="70" t="n">
        <v>0</v>
      </c>
      <c r="J25" s="69" t="n">
        <v>0.54</v>
      </c>
      <c r="K25" s="69" t="n">
        <v>0.54</v>
      </c>
      <c r="L25" s="70" t="n">
        <v>23</v>
      </c>
    </row>
    <row r="26" customFormat="false" ht="15" hidden="false" customHeight="true" outlineLevel="0" collapsed="false">
      <c r="A26" s="16" t="n">
        <v>24</v>
      </c>
      <c r="B26" s="27" t="s">
        <v>815</v>
      </c>
      <c r="C26" s="16" t="s">
        <v>161</v>
      </c>
      <c r="D26" s="69" t="n">
        <v>5</v>
      </c>
      <c r="E26" s="70" t="n">
        <v>0</v>
      </c>
      <c r="F26" s="70" t="n">
        <v>0</v>
      </c>
      <c r="G26" s="70" t="n">
        <v>0</v>
      </c>
      <c r="H26" s="16" t="s">
        <v>42</v>
      </c>
      <c r="I26" s="70" t="n">
        <v>0</v>
      </c>
      <c r="J26" s="69" t="n">
        <v>0.08</v>
      </c>
      <c r="K26" s="69" t="n">
        <v>0.08</v>
      </c>
      <c r="L26" s="70" t="n">
        <v>3</v>
      </c>
    </row>
    <row r="27" customFormat="false" ht="15" hidden="false" customHeight="true" outlineLevel="0" collapsed="false">
      <c r="A27" s="16" t="n">
        <v>25</v>
      </c>
      <c r="B27" s="27" t="s">
        <v>816</v>
      </c>
      <c r="C27" s="16" t="s">
        <v>161</v>
      </c>
      <c r="D27" s="69" t="n">
        <v>20.6</v>
      </c>
      <c r="E27" s="70" t="n">
        <v>0</v>
      </c>
      <c r="F27" s="70" t="n">
        <v>0</v>
      </c>
      <c r="G27" s="70" t="n">
        <v>0</v>
      </c>
      <c r="H27" s="16" t="s">
        <v>42</v>
      </c>
      <c r="I27" s="70" t="n">
        <v>0</v>
      </c>
      <c r="J27" s="69" t="n">
        <v>0.15</v>
      </c>
      <c r="K27" s="69" t="n">
        <v>0.15</v>
      </c>
      <c r="L27" s="70" t="n">
        <v>6</v>
      </c>
    </row>
    <row r="28" customFormat="false" ht="15" hidden="false" customHeight="true" outlineLevel="0" collapsed="false">
      <c r="A28" s="16" t="n">
        <v>26</v>
      </c>
      <c r="B28" s="27" t="s">
        <v>160</v>
      </c>
      <c r="C28" s="16" t="s">
        <v>161</v>
      </c>
      <c r="D28" s="69" t="n">
        <v>300</v>
      </c>
      <c r="E28" s="70" t="n">
        <v>69</v>
      </c>
      <c r="F28" s="70" t="n">
        <v>70</v>
      </c>
      <c r="G28" s="70" t="n">
        <v>71</v>
      </c>
      <c r="H28" s="16" t="s">
        <v>817</v>
      </c>
      <c r="I28" s="70" t="n">
        <v>69</v>
      </c>
      <c r="J28" s="69" t="n">
        <v>1.71</v>
      </c>
      <c r="K28" s="69" t="n">
        <v>1.67</v>
      </c>
      <c r="L28" s="70" t="n">
        <v>70</v>
      </c>
    </row>
    <row r="29" customFormat="false" ht="15" hidden="false" customHeight="true" outlineLevel="0" collapsed="false">
      <c r="A29" s="46" t="n">
        <v>27</v>
      </c>
      <c r="B29" s="42" t="s">
        <v>818</v>
      </c>
      <c r="C29" s="46" t="s">
        <v>248</v>
      </c>
      <c r="D29" s="71" t="n">
        <v>8836</v>
      </c>
      <c r="E29" s="44" t="n">
        <v>6092</v>
      </c>
      <c r="F29" s="44" t="n">
        <v>5914</v>
      </c>
      <c r="G29" s="44" t="n">
        <v>6153</v>
      </c>
      <c r="H29" s="46" t="s">
        <v>819</v>
      </c>
      <c r="I29" s="44" t="n">
        <v>3376</v>
      </c>
      <c r="J29" s="71" t="n">
        <v>124.34</v>
      </c>
      <c r="K29" s="71" t="n">
        <v>124.34</v>
      </c>
      <c r="L29" s="44" t="n">
        <v>5181</v>
      </c>
    </row>
    <row r="30" customFormat="false" ht="15" hidden="false" customHeight="true" outlineLevel="0" collapsed="false">
      <c r="A30" s="46" t="n">
        <v>28</v>
      </c>
      <c r="B30" s="42" t="s">
        <v>820</v>
      </c>
      <c r="C30" s="46" t="s">
        <v>252</v>
      </c>
      <c r="D30" s="71" t="n">
        <v>15238</v>
      </c>
      <c r="E30" s="44" t="n">
        <v>0</v>
      </c>
      <c r="F30" s="44" t="n">
        <v>0</v>
      </c>
      <c r="G30" s="44" t="n">
        <v>9993</v>
      </c>
      <c r="H30" s="46" t="s">
        <v>821</v>
      </c>
      <c r="I30" s="44" t="n">
        <v>0</v>
      </c>
      <c r="J30" s="71" t="n">
        <v>75.73</v>
      </c>
      <c r="K30" s="71" t="n">
        <v>75.73</v>
      </c>
      <c r="L30" s="44" t="n">
        <v>3155</v>
      </c>
    </row>
    <row r="31" customFormat="false" ht="15" hidden="false" customHeight="true" outlineLevel="0" collapsed="false">
      <c r="A31" s="46" t="n">
        <v>29</v>
      </c>
      <c r="B31" s="42" t="s">
        <v>255</v>
      </c>
      <c r="C31" s="46" t="s">
        <v>256</v>
      </c>
      <c r="D31" s="71" t="n">
        <v>51.65</v>
      </c>
      <c r="E31" s="44" t="n">
        <v>0</v>
      </c>
      <c r="F31" s="44" t="n">
        <v>0</v>
      </c>
      <c r="G31" s="44" t="n">
        <v>0</v>
      </c>
      <c r="H31" s="46" t="s">
        <v>42</v>
      </c>
      <c r="I31" s="44" t="n">
        <v>0</v>
      </c>
      <c r="J31" s="71" t="n">
        <v>0</v>
      </c>
      <c r="K31" s="71" t="n">
        <v>0</v>
      </c>
      <c r="L31" s="44" t="n">
        <v>0</v>
      </c>
    </row>
    <row r="32" customFormat="false" ht="53.25" hidden="false" customHeight="true" outlineLevel="0" collapsed="false">
      <c r="A32" s="35" t="s">
        <v>822</v>
      </c>
      <c r="B32" s="72"/>
      <c r="C32" s="72"/>
      <c r="D32" s="72"/>
      <c r="E32" s="72"/>
      <c r="F32" s="72"/>
      <c r="G32" s="72"/>
      <c r="H32" s="72"/>
      <c r="I32" s="72"/>
      <c r="J32" s="73" t="n">
        <f aca="false">SUM(J3:J31)</f>
        <v>375.77</v>
      </c>
      <c r="K32" s="73" t="n">
        <f aca="false">SUM(K3:K31)</f>
        <v>360.05</v>
      </c>
      <c r="L32" s="72"/>
    </row>
    <row r="34" customFormat="false" ht="24" hidden="false" customHeight="true" outlineLevel="0" collapsed="false">
      <c r="A34" s="74" t="s">
        <v>823</v>
      </c>
      <c r="B34" s="74"/>
      <c r="C34" s="74"/>
      <c r="D34" s="74"/>
      <c r="E34" s="74"/>
      <c r="F34" s="74"/>
      <c r="G34" s="74"/>
      <c r="H34" s="74"/>
      <c r="I34" s="74"/>
      <c r="J34" s="74"/>
      <c r="K34" s="74"/>
      <c r="L34" s="74"/>
    </row>
  </sheetData>
  <mergeCells count="2">
    <mergeCell ref="A1:L1"/>
    <mergeCell ref="A34:L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10"/>
    <col collapsed="false" customWidth="true" hidden="false" outlineLevel="0" max="5" min="4" style="1" width="14"/>
    <col collapsed="false" customWidth="true" hidden="false" outlineLevel="0" max="6" min="6" style="1" width="13"/>
    <col collapsed="false" customWidth="true" hidden="false" outlineLevel="0" max="7" min="7" style="1" width="15"/>
    <col collapsed="false" customWidth="true" hidden="false" outlineLevel="0" max="8" min="8" style="1" width="13"/>
    <col collapsed="false" customWidth="true" hidden="false" outlineLevel="0" max="9" min="9" style="1" width="12"/>
    <col collapsed="false" customWidth="true" hidden="false" outlineLevel="0" max="10" min="10" style="1" width="15"/>
    <col collapsed="false" customWidth="true" hidden="false" outlineLevel="0" max="12" min="11" style="1" width="13"/>
    <col collapsed="false" customWidth="true" hidden="false" outlineLevel="0" max="13" min="13" style="1" width="11"/>
  </cols>
  <sheetData>
    <row r="1" customFormat="false" ht="27.75" hidden="false" customHeight="true" outlineLevel="0" collapsed="false">
      <c r="A1" s="8" t="s">
        <v>824</v>
      </c>
      <c r="B1" s="8"/>
      <c r="C1" s="8"/>
      <c r="D1" s="8"/>
      <c r="E1" s="8"/>
      <c r="F1" s="8"/>
      <c r="G1" s="8"/>
      <c r="H1" s="8"/>
      <c r="I1" s="8"/>
      <c r="J1" s="8"/>
      <c r="K1" s="8"/>
      <c r="L1" s="8"/>
      <c r="M1" s="8"/>
    </row>
    <row r="2" customFormat="false" ht="36" hidden="false" customHeight="true" outlineLevel="0" collapsed="false">
      <c r="A2" s="3" t="s">
        <v>132</v>
      </c>
      <c r="B2" s="3" t="s">
        <v>825</v>
      </c>
      <c r="C2" s="3" t="s">
        <v>263</v>
      </c>
      <c r="D2" s="3" t="s">
        <v>776</v>
      </c>
      <c r="E2" s="3" t="s">
        <v>826</v>
      </c>
      <c r="F2" s="3" t="s">
        <v>777</v>
      </c>
      <c r="G2" s="3" t="s">
        <v>778</v>
      </c>
      <c r="H2" s="3" t="s">
        <v>779</v>
      </c>
      <c r="I2" s="3" t="s">
        <v>827</v>
      </c>
      <c r="J2" s="3" t="s">
        <v>828</v>
      </c>
      <c r="K2" s="3" t="s">
        <v>829</v>
      </c>
      <c r="L2" s="3" t="s">
        <v>830</v>
      </c>
      <c r="M2" s="3" t="s">
        <v>784</v>
      </c>
    </row>
    <row r="3" customFormat="false" ht="15" hidden="false" customHeight="true" outlineLevel="0" collapsed="false">
      <c r="A3" s="15" t="n">
        <v>1</v>
      </c>
      <c r="B3" s="11" t="s">
        <v>831</v>
      </c>
      <c r="C3" s="15" t="s">
        <v>148</v>
      </c>
      <c r="D3" s="66" t="n">
        <v>1600</v>
      </c>
      <c r="E3" s="71" t="n">
        <v>333.83</v>
      </c>
      <c r="F3" s="66" t="n">
        <v>1131</v>
      </c>
      <c r="G3" s="66" t="n">
        <v>800</v>
      </c>
      <c r="H3" s="66" t="n">
        <v>1476</v>
      </c>
      <c r="I3" s="66" t="n">
        <v>740</v>
      </c>
      <c r="J3" s="65" t="n">
        <v>20.97</v>
      </c>
      <c r="K3" s="65" t="n">
        <v>22.8</v>
      </c>
      <c r="L3" s="65" t="n">
        <v>21.05</v>
      </c>
      <c r="M3" s="66" t="n">
        <v>877</v>
      </c>
    </row>
    <row r="4" customFormat="false" ht="15" hidden="false" customHeight="true" outlineLevel="0" collapsed="false">
      <c r="A4" s="12" t="n">
        <v>2</v>
      </c>
      <c r="B4" s="20" t="s">
        <v>832</v>
      </c>
      <c r="C4" s="12" t="s">
        <v>144</v>
      </c>
      <c r="D4" s="68" t="n">
        <v>657</v>
      </c>
      <c r="E4" s="71" t="n">
        <v>237</v>
      </c>
      <c r="F4" s="68" t="n">
        <v>0</v>
      </c>
      <c r="G4" s="68" t="n">
        <v>-13</v>
      </c>
      <c r="H4" s="68" t="n">
        <v>14</v>
      </c>
      <c r="I4" s="68" t="n">
        <v>-25</v>
      </c>
      <c r="J4" s="67" t="n">
        <v>0.03</v>
      </c>
      <c r="K4" s="67" t="n">
        <v>0.05</v>
      </c>
      <c r="L4" s="67" t="n">
        <v>0.05</v>
      </c>
      <c r="M4" s="68" t="n">
        <v>2</v>
      </c>
    </row>
    <row r="5" customFormat="false" ht="15" hidden="false" customHeight="true" outlineLevel="0" collapsed="false">
      <c r="A5" s="19" t="n">
        <v>3</v>
      </c>
      <c r="B5" s="17" t="s">
        <v>833</v>
      </c>
      <c r="C5" s="19" t="s">
        <v>193</v>
      </c>
      <c r="D5" s="75" t="n">
        <v>440</v>
      </c>
      <c r="E5" s="71" t="n">
        <v>125</v>
      </c>
      <c r="F5" s="75" t="n">
        <v>391</v>
      </c>
      <c r="G5" s="75" t="n">
        <v>391</v>
      </c>
      <c r="H5" s="75" t="n">
        <v>391</v>
      </c>
      <c r="I5" s="75" t="n">
        <v>391</v>
      </c>
      <c r="J5" s="76" t="n">
        <v>9.55</v>
      </c>
      <c r="K5" s="76" t="n">
        <v>10.49</v>
      </c>
      <c r="L5" s="76" t="n">
        <v>9.48</v>
      </c>
      <c r="M5" s="75" t="n">
        <v>395</v>
      </c>
    </row>
    <row r="6" customFormat="false" ht="15" hidden="false" customHeight="true" outlineLevel="0" collapsed="false">
      <c r="A6" s="19" t="n">
        <v>4</v>
      </c>
      <c r="B6" s="17" t="s">
        <v>834</v>
      </c>
      <c r="C6" s="19" t="s">
        <v>193</v>
      </c>
      <c r="D6" s="75" t="n">
        <v>1400</v>
      </c>
      <c r="E6" s="71" t="n">
        <v>475.88</v>
      </c>
      <c r="F6" s="75" t="n">
        <v>591</v>
      </c>
      <c r="G6" s="75" t="n">
        <v>599</v>
      </c>
      <c r="H6" s="75" t="n">
        <v>603</v>
      </c>
      <c r="I6" s="75" t="n">
        <v>589</v>
      </c>
      <c r="J6" s="76" t="n">
        <v>28.86</v>
      </c>
      <c r="K6" s="76" t="n">
        <v>31.49</v>
      </c>
      <c r="L6" s="76" t="n">
        <v>28.91</v>
      </c>
      <c r="M6" s="75" t="n">
        <v>1205</v>
      </c>
    </row>
    <row r="7" customFormat="false" ht="15" hidden="false" customHeight="true" outlineLevel="0" collapsed="false">
      <c r="A7" s="12" t="n">
        <v>5</v>
      </c>
      <c r="B7" s="20" t="s">
        <v>220</v>
      </c>
      <c r="C7" s="12" t="s">
        <v>144</v>
      </c>
      <c r="D7" s="68" t="n">
        <v>656</v>
      </c>
      <c r="E7" s="71" t="n">
        <v>187</v>
      </c>
      <c r="F7" s="68" t="n">
        <v>-7</v>
      </c>
      <c r="G7" s="68" t="n">
        <v>-3</v>
      </c>
      <c r="H7" s="68" t="n">
        <v>37</v>
      </c>
      <c r="I7" s="68" t="n">
        <v>-23</v>
      </c>
      <c r="J7" s="67" t="n">
        <v>0.02</v>
      </c>
      <c r="K7" s="67" t="n">
        <v>0</v>
      </c>
      <c r="L7" s="67" t="n">
        <v>0</v>
      </c>
      <c r="M7" s="68" t="n">
        <v>0</v>
      </c>
    </row>
    <row r="8" customFormat="false" ht="15" hidden="false" customHeight="true" outlineLevel="0" collapsed="false">
      <c r="A8" s="15" t="n">
        <v>6</v>
      </c>
      <c r="B8" s="11" t="s">
        <v>238</v>
      </c>
      <c r="C8" s="15" t="s">
        <v>148</v>
      </c>
      <c r="D8" s="66" t="n">
        <v>1320</v>
      </c>
      <c r="E8" s="71" t="n">
        <v>270.2</v>
      </c>
      <c r="F8" s="66" t="n">
        <v>791</v>
      </c>
      <c r="G8" s="66" t="n">
        <v>660</v>
      </c>
      <c r="H8" s="66" t="n">
        <v>1039</v>
      </c>
      <c r="I8" s="66" t="n">
        <v>662</v>
      </c>
      <c r="J8" s="65" t="n">
        <v>16.63</v>
      </c>
      <c r="K8" s="65" t="n">
        <v>18.75</v>
      </c>
      <c r="L8" s="65" t="n">
        <v>17.23</v>
      </c>
      <c r="M8" s="66" t="n">
        <v>718</v>
      </c>
    </row>
    <row r="9" customFormat="false" ht="15" hidden="false" customHeight="true" outlineLevel="0" collapsed="false">
      <c r="A9" s="15" t="n">
        <v>7</v>
      </c>
      <c r="B9" s="11" t="s">
        <v>835</v>
      </c>
      <c r="C9" s="15" t="s">
        <v>148</v>
      </c>
      <c r="D9" s="66" t="n">
        <v>2100</v>
      </c>
      <c r="E9" s="71" t="n">
        <v>380.84</v>
      </c>
      <c r="F9" s="66" t="n">
        <v>1324</v>
      </c>
      <c r="G9" s="66" t="n">
        <v>1300</v>
      </c>
      <c r="H9" s="66" t="n">
        <v>1379</v>
      </c>
      <c r="I9" s="66" t="n">
        <v>744</v>
      </c>
      <c r="J9" s="65" t="n">
        <v>30.48</v>
      </c>
      <c r="K9" s="65" t="n">
        <v>32.81</v>
      </c>
      <c r="L9" s="65" t="n">
        <v>30.19</v>
      </c>
      <c r="M9" s="66" t="n">
        <v>1258</v>
      </c>
    </row>
    <row r="10" customFormat="false" ht="15" hidden="false" customHeight="true" outlineLevel="0" collapsed="false">
      <c r="A10" s="15" t="n">
        <v>8</v>
      </c>
      <c r="B10" s="11" t="s">
        <v>836</v>
      </c>
      <c r="C10" s="15" t="s">
        <v>148</v>
      </c>
      <c r="D10" s="66" t="n">
        <v>500</v>
      </c>
      <c r="E10" s="71" t="n">
        <v>130.34</v>
      </c>
      <c r="F10" s="66" t="n">
        <v>473</v>
      </c>
      <c r="G10" s="66" t="n">
        <v>466</v>
      </c>
      <c r="H10" s="66" t="n">
        <v>490</v>
      </c>
      <c r="I10" s="66" t="n">
        <v>278</v>
      </c>
      <c r="J10" s="65" t="n">
        <v>9.67</v>
      </c>
      <c r="K10" s="65" t="n">
        <v>10.37</v>
      </c>
      <c r="L10" s="65" t="n">
        <v>9.65</v>
      </c>
      <c r="M10" s="66" t="n">
        <v>402</v>
      </c>
    </row>
    <row r="11" customFormat="false" ht="15" hidden="false" customHeight="true" outlineLevel="0" collapsed="false">
      <c r="A11" s="15" t="n">
        <v>9</v>
      </c>
      <c r="B11" s="11" t="s">
        <v>837</v>
      </c>
      <c r="C11" s="15" t="s">
        <v>148</v>
      </c>
      <c r="D11" s="66" t="n">
        <v>1600</v>
      </c>
      <c r="E11" s="71" t="n">
        <v>186.48</v>
      </c>
      <c r="F11" s="66" t="n">
        <v>709</v>
      </c>
      <c r="G11" s="66" t="n">
        <v>732</v>
      </c>
      <c r="H11" s="66" t="n">
        <v>745</v>
      </c>
      <c r="I11" s="66" t="n">
        <v>392</v>
      </c>
      <c r="J11" s="65" t="n">
        <v>15.19</v>
      </c>
      <c r="K11" s="65" t="n">
        <v>16.79</v>
      </c>
      <c r="L11" s="65" t="n">
        <v>14.98</v>
      </c>
      <c r="M11" s="66" t="n">
        <v>624</v>
      </c>
    </row>
    <row r="12" customFormat="false" ht="15" hidden="false" customHeight="true" outlineLevel="0" collapsed="false">
      <c r="A12" s="15" t="n">
        <v>10</v>
      </c>
      <c r="B12" s="11" t="s">
        <v>838</v>
      </c>
      <c r="C12" s="15" t="s">
        <v>148</v>
      </c>
      <c r="D12" s="66" t="n">
        <v>1000</v>
      </c>
      <c r="E12" s="71" t="n">
        <v>455.63</v>
      </c>
      <c r="F12" s="66" t="n">
        <v>778</v>
      </c>
      <c r="G12" s="66" t="n">
        <v>680</v>
      </c>
      <c r="H12" s="66" t="n">
        <v>840</v>
      </c>
      <c r="I12" s="66" t="n">
        <v>427</v>
      </c>
      <c r="J12" s="65" t="n">
        <v>14.85</v>
      </c>
      <c r="K12" s="65" t="n">
        <v>16.31</v>
      </c>
      <c r="L12" s="65" t="n">
        <v>14.59</v>
      </c>
      <c r="M12" s="66" t="n">
        <v>608</v>
      </c>
    </row>
    <row r="13" customFormat="false" ht="15" hidden="false" customHeight="true" outlineLevel="0" collapsed="false">
      <c r="A13" s="15" t="n">
        <v>11</v>
      </c>
      <c r="B13" s="11" t="s">
        <v>839</v>
      </c>
      <c r="C13" s="15" t="s">
        <v>148</v>
      </c>
      <c r="D13" s="66" t="n">
        <v>1320</v>
      </c>
      <c r="E13" s="71" t="n">
        <v>530.24</v>
      </c>
      <c r="F13" s="66" t="n">
        <v>1048</v>
      </c>
      <c r="G13" s="66" t="n">
        <v>915</v>
      </c>
      <c r="H13" s="66" t="n">
        <v>1130</v>
      </c>
      <c r="I13" s="66" t="n">
        <v>575</v>
      </c>
      <c r="J13" s="65" t="n">
        <v>18.82</v>
      </c>
      <c r="K13" s="65" t="n">
        <v>21.22</v>
      </c>
      <c r="L13" s="65" t="n">
        <v>18.54</v>
      </c>
      <c r="M13" s="66" t="n">
        <v>773</v>
      </c>
    </row>
    <row r="14" customFormat="false" ht="15" hidden="false" customHeight="true" outlineLevel="0" collapsed="false">
      <c r="A14" s="15" t="n">
        <v>12</v>
      </c>
      <c r="B14" s="11" t="s">
        <v>840</v>
      </c>
      <c r="C14" s="15" t="s">
        <v>148</v>
      </c>
      <c r="D14" s="66" t="n">
        <v>500</v>
      </c>
      <c r="E14" s="77" t="s">
        <v>841</v>
      </c>
      <c r="F14" s="66" t="n">
        <v>428</v>
      </c>
      <c r="G14" s="66" t="n">
        <v>422</v>
      </c>
      <c r="H14" s="66" t="n">
        <v>478</v>
      </c>
      <c r="I14" s="66" t="n">
        <v>234</v>
      </c>
      <c r="J14" s="65" t="n">
        <v>8.79</v>
      </c>
      <c r="K14" s="65" t="n">
        <v>9.76</v>
      </c>
      <c r="L14" s="65" t="n">
        <v>8.88</v>
      </c>
      <c r="M14" s="66" t="n">
        <v>370</v>
      </c>
    </row>
    <row r="15" customFormat="false" ht="15" hidden="false" customHeight="true" outlineLevel="0" collapsed="false">
      <c r="A15" s="12" t="n">
        <v>13</v>
      </c>
      <c r="B15" s="20" t="s">
        <v>842</v>
      </c>
      <c r="C15" s="12" t="s">
        <v>144</v>
      </c>
      <c r="D15" s="68" t="n">
        <v>1967</v>
      </c>
      <c r="E15" s="77" t="s">
        <v>841</v>
      </c>
      <c r="F15" s="68" t="n">
        <v>-18</v>
      </c>
      <c r="G15" s="68" t="n">
        <v>-8</v>
      </c>
      <c r="H15" s="68" t="n">
        <v>17</v>
      </c>
      <c r="I15" s="68" t="n">
        <v>-35</v>
      </c>
      <c r="J15" s="67" t="n">
        <v>0.12</v>
      </c>
      <c r="K15" s="67" t="n">
        <v>0.12</v>
      </c>
      <c r="L15" s="67" t="n">
        <v>0.12</v>
      </c>
      <c r="M15" s="68" t="n">
        <v>5</v>
      </c>
    </row>
    <row r="16" customFormat="false" ht="15" hidden="false" customHeight="true" outlineLevel="0" collapsed="false">
      <c r="A16" s="15" t="n">
        <v>14</v>
      </c>
      <c r="B16" s="11" t="s">
        <v>843</v>
      </c>
      <c r="C16" s="15" t="s">
        <v>148</v>
      </c>
      <c r="D16" s="66" t="n">
        <v>3960</v>
      </c>
      <c r="E16" s="77" t="s">
        <v>841</v>
      </c>
      <c r="F16" s="66" t="n">
        <v>3744</v>
      </c>
      <c r="G16" s="66" t="n">
        <v>3751</v>
      </c>
      <c r="H16" s="66" t="n">
        <v>3776</v>
      </c>
      <c r="I16" s="66" t="n">
        <v>1969</v>
      </c>
      <c r="J16" s="65" t="n">
        <v>78.02</v>
      </c>
      <c r="K16" s="65" t="n">
        <v>84.6</v>
      </c>
      <c r="L16" s="65" t="n">
        <v>79.26</v>
      </c>
      <c r="M16" s="66" t="n">
        <v>3303</v>
      </c>
    </row>
    <row r="17" customFormat="false" ht="15" hidden="false" customHeight="true" outlineLevel="0" collapsed="false">
      <c r="A17" s="15" t="n">
        <v>15</v>
      </c>
      <c r="B17" s="11" t="s">
        <v>844</v>
      </c>
      <c r="C17" s="15" t="s">
        <v>148</v>
      </c>
      <c r="D17" s="66" t="n">
        <v>1980</v>
      </c>
      <c r="E17" s="71" t="n">
        <v>576.99</v>
      </c>
      <c r="F17" s="66" t="n">
        <v>1863</v>
      </c>
      <c r="G17" s="66" t="n">
        <v>1840</v>
      </c>
      <c r="H17" s="66" t="n">
        <v>1938</v>
      </c>
      <c r="I17" s="66" t="n">
        <v>973</v>
      </c>
      <c r="J17" s="65" t="n">
        <v>37.88</v>
      </c>
      <c r="K17" s="65" t="n">
        <v>40.73</v>
      </c>
      <c r="L17" s="65" t="n">
        <v>38.26</v>
      </c>
      <c r="M17" s="66" t="n">
        <v>1594</v>
      </c>
    </row>
    <row r="18" customFormat="false" ht="15" hidden="false" customHeight="true" outlineLevel="0" collapsed="false">
      <c r="A18" s="15" t="n">
        <v>16</v>
      </c>
      <c r="B18" s="11" t="s">
        <v>845</v>
      </c>
      <c r="C18" s="15" t="s">
        <v>148</v>
      </c>
      <c r="D18" s="66" t="n">
        <v>1000</v>
      </c>
      <c r="E18" s="71" t="n">
        <v>286.02</v>
      </c>
      <c r="F18" s="66" t="n">
        <v>933</v>
      </c>
      <c r="G18" s="66" t="n">
        <v>916</v>
      </c>
      <c r="H18" s="66" t="n">
        <v>969</v>
      </c>
      <c r="I18" s="66" t="n">
        <v>485</v>
      </c>
      <c r="J18" s="65" t="n">
        <v>19.33</v>
      </c>
      <c r="K18" s="65" t="n">
        <v>20.63</v>
      </c>
      <c r="L18" s="65" t="n">
        <v>19.37</v>
      </c>
      <c r="M18" s="66" t="n">
        <v>807</v>
      </c>
    </row>
    <row r="19" customFormat="false" ht="15" hidden="false" customHeight="true" outlineLevel="0" collapsed="false">
      <c r="A19" s="15" t="n">
        <v>17</v>
      </c>
      <c r="B19" s="11" t="s">
        <v>846</v>
      </c>
      <c r="C19" s="15" t="s">
        <v>148</v>
      </c>
      <c r="D19" s="66" t="n">
        <v>1320</v>
      </c>
      <c r="E19" s="77" t="s">
        <v>841</v>
      </c>
      <c r="F19" s="66" t="n">
        <v>659</v>
      </c>
      <c r="G19" s="66" t="n">
        <v>660</v>
      </c>
      <c r="H19" s="66" t="n">
        <v>822</v>
      </c>
      <c r="I19" s="66" t="n">
        <v>661</v>
      </c>
      <c r="J19" s="65" t="n">
        <v>16.26</v>
      </c>
      <c r="K19" s="65" t="n">
        <v>18.7</v>
      </c>
      <c r="L19" s="65" t="n">
        <v>17.23</v>
      </c>
      <c r="M19" s="66" t="n">
        <v>718</v>
      </c>
    </row>
    <row r="20" customFormat="false" ht="15" hidden="false" customHeight="true" outlineLevel="0" collapsed="false">
      <c r="A20" s="16" t="n">
        <v>18</v>
      </c>
      <c r="B20" s="27" t="s">
        <v>847</v>
      </c>
      <c r="C20" s="16" t="s">
        <v>161</v>
      </c>
      <c r="D20" s="70" t="n">
        <v>1450</v>
      </c>
      <c r="E20" s="71" t="n">
        <v>232</v>
      </c>
      <c r="F20" s="70" t="n">
        <v>492</v>
      </c>
      <c r="G20" s="70" t="n">
        <v>437</v>
      </c>
      <c r="H20" s="70" t="n">
        <v>1081</v>
      </c>
      <c r="I20" s="70" t="n">
        <v>47</v>
      </c>
      <c r="J20" s="69" t="n">
        <v>6.74</v>
      </c>
      <c r="K20" s="69" t="n">
        <v>7.57</v>
      </c>
      <c r="L20" s="69" t="n">
        <v>7.47</v>
      </c>
      <c r="M20" s="70" t="n">
        <v>311</v>
      </c>
    </row>
    <row r="21" customFormat="false" ht="15" hidden="false" customHeight="true" outlineLevel="0" collapsed="false">
      <c r="A21" s="19" t="n">
        <v>19</v>
      </c>
      <c r="B21" s="17" t="s">
        <v>848</v>
      </c>
      <c r="C21" s="19" t="s">
        <v>193</v>
      </c>
      <c r="D21" s="75" t="n">
        <v>320</v>
      </c>
      <c r="E21" s="71" t="n">
        <v>160</v>
      </c>
      <c r="F21" s="75" t="n">
        <v>152</v>
      </c>
      <c r="G21" s="75" t="n">
        <v>152</v>
      </c>
      <c r="H21" s="75" t="n">
        <v>155</v>
      </c>
      <c r="I21" s="75" t="n">
        <v>103</v>
      </c>
      <c r="J21" s="76" t="n">
        <v>3.5</v>
      </c>
      <c r="K21" s="76" t="n">
        <v>3.84</v>
      </c>
      <c r="L21" s="76" t="n">
        <v>3.4</v>
      </c>
      <c r="M21" s="75" t="n">
        <v>142</v>
      </c>
    </row>
    <row r="22" customFormat="false" ht="15" hidden="false" customHeight="true" outlineLevel="0" collapsed="false">
      <c r="A22" s="19" t="n">
        <v>20</v>
      </c>
      <c r="B22" s="17" t="s">
        <v>849</v>
      </c>
      <c r="C22" s="19" t="s">
        <v>193</v>
      </c>
      <c r="D22" s="75" t="n">
        <v>1080</v>
      </c>
      <c r="E22" s="71" t="n">
        <v>274</v>
      </c>
      <c r="F22" s="75" t="n">
        <v>793</v>
      </c>
      <c r="G22" s="75" t="n">
        <v>791</v>
      </c>
      <c r="H22" s="75" t="n">
        <v>847</v>
      </c>
      <c r="I22" s="75" t="n">
        <v>763</v>
      </c>
      <c r="J22" s="76" t="n">
        <v>18.6</v>
      </c>
      <c r="K22" s="76" t="n">
        <v>20.98</v>
      </c>
      <c r="L22" s="76" t="n">
        <v>18.71</v>
      </c>
      <c r="M22" s="75" t="n">
        <v>780</v>
      </c>
    </row>
    <row r="23" customFormat="false" ht="15" hidden="false" customHeight="true" outlineLevel="0" collapsed="false">
      <c r="A23" s="15" t="n">
        <v>21</v>
      </c>
      <c r="B23" s="11" t="s">
        <v>850</v>
      </c>
      <c r="C23" s="15" t="s">
        <v>148</v>
      </c>
      <c r="D23" s="66" t="n">
        <v>1260</v>
      </c>
      <c r="E23" s="71" t="n">
        <v>247.74</v>
      </c>
      <c r="F23" s="66" t="n">
        <v>873</v>
      </c>
      <c r="G23" s="66" t="n">
        <v>922</v>
      </c>
      <c r="H23" s="66" t="n">
        <v>933</v>
      </c>
      <c r="I23" s="66" t="n">
        <v>508</v>
      </c>
      <c r="J23" s="65" t="n">
        <v>18.6</v>
      </c>
      <c r="K23" s="65" t="n">
        <v>20.62</v>
      </c>
      <c r="L23" s="65" t="n">
        <v>18.07</v>
      </c>
      <c r="M23" s="66" t="n">
        <v>753</v>
      </c>
    </row>
    <row r="24" customFormat="false" ht="15" hidden="false" customHeight="true" outlineLevel="0" collapsed="false">
      <c r="A24" s="15" t="n">
        <v>22</v>
      </c>
      <c r="B24" s="11" t="s">
        <v>851</v>
      </c>
      <c r="C24" s="15" t="s">
        <v>148</v>
      </c>
      <c r="D24" s="66" t="n">
        <v>1000</v>
      </c>
      <c r="E24" s="71" t="n">
        <v>252.64</v>
      </c>
      <c r="F24" s="66" t="n">
        <v>896</v>
      </c>
      <c r="G24" s="66" t="n">
        <v>904</v>
      </c>
      <c r="H24" s="66" t="n">
        <v>932</v>
      </c>
      <c r="I24" s="66" t="n">
        <v>514</v>
      </c>
      <c r="J24" s="65" t="n">
        <v>18.41</v>
      </c>
      <c r="K24" s="65" t="n">
        <v>19.56</v>
      </c>
      <c r="L24" s="65" t="n">
        <v>18.06</v>
      </c>
      <c r="M24" s="66" t="n">
        <v>753</v>
      </c>
    </row>
    <row r="25" customFormat="false" ht="15" hidden="false" customHeight="true" outlineLevel="0" collapsed="false">
      <c r="A25" s="15" t="n">
        <v>23</v>
      </c>
      <c r="B25" s="11" t="s">
        <v>852</v>
      </c>
      <c r="C25" s="15" t="s">
        <v>148</v>
      </c>
      <c r="D25" s="66" t="n">
        <v>1000</v>
      </c>
      <c r="E25" s="71" t="n">
        <v>279.64</v>
      </c>
      <c r="F25" s="66" t="n">
        <v>886</v>
      </c>
      <c r="G25" s="66" t="n">
        <v>877</v>
      </c>
      <c r="H25" s="66" t="n">
        <v>962</v>
      </c>
      <c r="I25" s="66" t="n">
        <v>518</v>
      </c>
      <c r="J25" s="65" t="n">
        <v>18.44</v>
      </c>
      <c r="K25" s="65" t="n">
        <v>19.39</v>
      </c>
      <c r="L25" s="65" t="n">
        <v>18.38</v>
      </c>
      <c r="M25" s="66" t="n">
        <v>766</v>
      </c>
    </row>
    <row r="26" customFormat="false" ht="15" hidden="false" customHeight="true" outlineLevel="0" collapsed="false">
      <c r="A26" s="15" t="n">
        <v>24</v>
      </c>
      <c r="B26" s="11" t="s">
        <v>853</v>
      </c>
      <c r="C26" s="15" t="s">
        <v>148</v>
      </c>
      <c r="D26" s="66" t="n">
        <v>1000</v>
      </c>
      <c r="E26" s="71" t="n">
        <v>258.6</v>
      </c>
      <c r="F26" s="66" t="n">
        <v>889</v>
      </c>
      <c r="G26" s="66" t="n">
        <v>881</v>
      </c>
      <c r="H26" s="66" t="n">
        <v>960</v>
      </c>
      <c r="I26" s="66" t="n">
        <v>485</v>
      </c>
      <c r="J26" s="65" t="n">
        <v>18.63</v>
      </c>
      <c r="K26" s="65" t="n">
        <v>20.08</v>
      </c>
      <c r="L26" s="65" t="n">
        <v>18.65</v>
      </c>
      <c r="M26" s="66" t="n">
        <v>777</v>
      </c>
    </row>
    <row r="27" customFormat="false" ht="15" hidden="false" customHeight="true" outlineLevel="0" collapsed="false">
      <c r="A27" s="15" t="n">
        <v>25</v>
      </c>
      <c r="B27" s="11" t="s">
        <v>854</v>
      </c>
      <c r="C27" s="15" t="s">
        <v>148</v>
      </c>
      <c r="D27" s="66" t="n">
        <v>500</v>
      </c>
      <c r="E27" s="71" t="n">
        <v>102.79</v>
      </c>
      <c r="F27" s="66" t="n">
        <v>434</v>
      </c>
      <c r="G27" s="66" t="n">
        <v>434</v>
      </c>
      <c r="H27" s="66" t="n">
        <v>488</v>
      </c>
      <c r="I27" s="66" t="n">
        <v>243</v>
      </c>
      <c r="J27" s="65" t="n">
        <v>9.2</v>
      </c>
      <c r="K27" s="65" t="n">
        <v>9.86</v>
      </c>
      <c r="L27" s="65" t="n">
        <v>9.27</v>
      </c>
      <c r="M27" s="66" t="n">
        <v>386</v>
      </c>
    </row>
  </sheetData>
  <mergeCells count="1">
    <mergeCell ref="A1:M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3" min="2" style="1" width="16"/>
    <col collapsed="false" customWidth="true" hidden="false" outlineLevel="0" max="4" min="4" style="1" width="34"/>
    <col collapsed="false" customWidth="true" hidden="false" outlineLevel="0" max="5" min="5" style="1" width="50"/>
    <col collapsed="false" customWidth="true" hidden="false" outlineLevel="0" max="8" min="6" style="1" width="10"/>
  </cols>
  <sheetData>
    <row r="1" customFormat="false" ht="27.75" hidden="false" customHeight="true" outlineLevel="0" collapsed="false">
      <c r="A1" s="8" t="s">
        <v>855</v>
      </c>
      <c r="B1" s="8"/>
      <c r="C1" s="8"/>
      <c r="D1" s="8"/>
      <c r="E1" s="8"/>
      <c r="F1" s="8"/>
      <c r="G1" s="8"/>
      <c r="H1" s="8"/>
    </row>
    <row r="2" customFormat="false" ht="21.75" hidden="false" customHeight="true" outlineLevel="0" collapsed="false">
      <c r="A2" s="78" t="s">
        <v>856</v>
      </c>
      <c r="B2" s="78"/>
      <c r="C2" s="78"/>
      <c r="D2" s="78"/>
      <c r="E2" s="78"/>
      <c r="F2" s="78"/>
      <c r="G2" s="78"/>
      <c r="H2" s="78"/>
    </row>
    <row r="3" customFormat="false" ht="36" hidden="false" customHeight="true" outlineLevel="0" collapsed="false">
      <c r="A3" s="3" t="s">
        <v>857</v>
      </c>
      <c r="B3" s="3" t="s">
        <v>858</v>
      </c>
      <c r="C3" s="3" t="s">
        <v>859</v>
      </c>
      <c r="D3" s="3" t="s">
        <v>860</v>
      </c>
      <c r="E3" s="3" t="s">
        <v>861</v>
      </c>
      <c r="F3" s="3" t="s">
        <v>862</v>
      </c>
      <c r="G3" s="3" t="s">
        <v>863</v>
      </c>
      <c r="H3" s="3" t="s">
        <v>864</v>
      </c>
    </row>
    <row r="4" customFormat="false" ht="15" hidden="false" customHeight="true" outlineLevel="0" collapsed="false">
      <c r="A4" s="79" t="s">
        <v>865</v>
      </c>
      <c r="B4" s="80" t="n">
        <v>22145</v>
      </c>
      <c r="C4" s="80" t="n">
        <v>20185</v>
      </c>
      <c r="D4" s="80" t="n">
        <v>26093</v>
      </c>
      <c r="E4" s="81" t="s">
        <v>866</v>
      </c>
      <c r="F4" s="80" t="n">
        <v>22272</v>
      </c>
      <c r="G4" s="80" t="n">
        <v>534.5</v>
      </c>
      <c r="H4" s="80" t="n">
        <v>529</v>
      </c>
    </row>
    <row r="5" customFormat="false" ht="15" hidden="false" customHeight="true" outlineLevel="0" collapsed="false">
      <c r="A5" s="82" t="s">
        <v>867</v>
      </c>
      <c r="B5" s="83" t="n">
        <v>0</v>
      </c>
      <c r="C5" s="83" t="n">
        <v>0</v>
      </c>
      <c r="D5" s="83" t="n">
        <v>0</v>
      </c>
      <c r="E5" s="84" t="s">
        <v>42</v>
      </c>
      <c r="F5" s="83" t="n">
        <v>0</v>
      </c>
      <c r="G5" s="83" t="n">
        <v>0</v>
      </c>
      <c r="H5" s="83" t="n">
        <v>0</v>
      </c>
    </row>
    <row r="6" customFormat="false" ht="15" hidden="false" customHeight="true" outlineLevel="0" collapsed="false">
      <c r="A6" s="79" t="s">
        <v>868</v>
      </c>
      <c r="B6" s="80" t="n">
        <v>2061.41</v>
      </c>
      <c r="C6" s="80" t="n">
        <v>-974.96</v>
      </c>
      <c r="D6" s="81" t="s">
        <v>42</v>
      </c>
      <c r="E6" s="81" t="s">
        <v>869</v>
      </c>
      <c r="F6" s="81" t="s">
        <v>42</v>
      </c>
      <c r="G6" s="81" t="s">
        <v>42</v>
      </c>
      <c r="H6" s="81" t="s">
        <v>42</v>
      </c>
    </row>
    <row r="7" customFormat="false" ht="15" hidden="false" customHeight="true" outlineLevel="0" collapsed="false">
      <c r="A7" s="82" t="s">
        <v>870</v>
      </c>
      <c r="B7" s="83" t="n">
        <v>50.08</v>
      </c>
      <c r="C7" s="83" t="n">
        <v>50.03</v>
      </c>
      <c r="D7" s="84" t="s">
        <v>42</v>
      </c>
      <c r="E7" s="84" t="s">
        <v>42</v>
      </c>
      <c r="F7" s="84" t="s">
        <v>42</v>
      </c>
      <c r="G7" s="84" t="s">
        <v>42</v>
      </c>
      <c r="H7" s="84" t="s">
        <v>42</v>
      </c>
    </row>
    <row r="9" customFormat="false" ht="21.75" hidden="false" customHeight="true" outlineLevel="0" collapsed="false">
      <c r="A9" s="78" t="s">
        <v>871</v>
      </c>
      <c r="B9" s="78"/>
      <c r="C9" s="78"/>
      <c r="D9" s="78"/>
      <c r="E9" s="78"/>
      <c r="F9" s="78"/>
      <c r="G9" s="78"/>
      <c r="H9" s="78"/>
    </row>
    <row r="10" customFormat="false" ht="32.25" hidden="false" customHeight="true" outlineLevel="0" collapsed="false">
      <c r="A10" s="3" t="s">
        <v>135</v>
      </c>
      <c r="B10" s="3" t="s">
        <v>783</v>
      </c>
      <c r="C10" s="3" t="s">
        <v>872</v>
      </c>
      <c r="D10" s="3" t="s">
        <v>873</v>
      </c>
      <c r="E10" s="3" t="s">
        <v>777</v>
      </c>
      <c r="F10" s="3" t="s">
        <v>778</v>
      </c>
      <c r="G10" s="3" t="s">
        <v>6</v>
      </c>
      <c r="H10" s="3"/>
    </row>
    <row r="11" customFormat="false" ht="42.75" hidden="false" customHeight="true" outlineLevel="0" collapsed="false">
      <c r="A11" s="11" t="s">
        <v>874</v>
      </c>
      <c r="B11" s="65" t="n">
        <v>151.98</v>
      </c>
      <c r="C11" s="85" t="n">
        <f aca="false">B11/SUM(B11:B16)</f>
        <v>0.422108040549924</v>
      </c>
      <c r="D11" s="66" t="n">
        <v>6333</v>
      </c>
      <c r="E11" s="66" t="n">
        <v>7086</v>
      </c>
      <c r="F11" s="66" t="n">
        <v>6143</v>
      </c>
      <c r="G11" s="86" t="s">
        <v>875</v>
      </c>
      <c r="H11" s="86"/>
    </row>
    <row r="12" customFormat="false" ht="53.25" hidden="false" customHeight="true" outlineLevel="0" collapsed="false">
      <c r="A12" s="20" t="s">
        <v>144</v>
      </c>
      <c r="B12" s="67" t="n">
        <v>5.56</v>
      </c>
      <c r="C12" s="87" t="n">
        <f aca="false">B12/SUM(B11:B16)</f>
        <v>0.0154422996805999</v>
      </c>
      <c r="D12" s="68" t="n">
        <v>232</v>
      </c>
      <c r="E12" s="68" t="n">
        <v>647</v>
      </c>
      <c r="F12" s="68" t="n">
        <v>179</v>
      </c>
      <c r="G12" s="88" t="s">
        <v>876</v>
      </c>
      <c r="H12" s="88"/>
    </row>
    <row r="13" customFormat="false" ht="32.25" hidden="false" customHeight="true" outlineLevel="0" collapsed="false">
      <c r="A13" s="27" t="s">
        <v>161</v>
      </c>
      <c r="B13" s="69" t="n">
        <v>2.44</v>
      </c>
      <c r="C13" s="89" t="n">
        <f aca="false">B13/SUM(B11:B16)</f>
        <v>0.0067768365504791</v>
      </c>
      <c r="D13" s="70" t="n">
        <v>102</v>
      </c>
      <c r="E13" s="70" t="n">
        <v>122</v>
      </c>
      <c r="F13" s="70" t="n">
        <v>120</v>
      </c>
      <c r="G13" s="90" t="s">
        <v>877</v>
      </c>
      <c r="H13" s="90"/>
    </row>
    <row r="14" customFormat="false" ht="42.75" hidden="false" customHeight="true" outlineLevel="0" collapsed="false">
      <c r="A14" s="42" t="s">
        <v>248</v>
      </c>
      <c r="B14" s="71" t="n">
        <v>124.34</v>
      </c>
      <c r="C14" s="91" t="n">
        <f aca="false">B14/SUM(B11:B16)</f>
        <v>0.345340924871546</v>
      </c>
      <c r="D14" s="44" t="n">
        <v>5181</v>
      </c>
      <c r="E14" s="44" t="n">
        <v>6092</v>
      </c>
      <c r="F14" s="44" t="n">
        <v>5914</v>
      </c>
      <c r="G14" s="43" t="s">
        <v>878</v>
      </c>
      <c r="H14" s="43"/>
    </row>
    <row r="15" customFormat="false" ht="42.75" hidden="false" customHeight="true" outlineLevel="0" collapsed="false">
      <c r="A15" s="42" t="s">
        <v>252</v>
      </c>
      <c r="B15" s="71" t="n">
        <v>75.73</v>
      </c>
      <c r="C15" s="91" t="n">
        <f aca="false">B15/SUM(B11:B16)</f>
        <v>0.210331898347452</v>
      </c>
      <c r="D15" s="44" t="n">
        <v>3155</v>
      </c>
      <c r="E15" s="44" t="n">
        <v>0</v>
      </c>
      <c r="F15" s="44" t="n">
        <v>0</v>
      </c>
      <c r="G15" s="43" t="s">
        <v>879</v>
      </c>
      <c r="H15" s="43"/>
    </row>
    <row r="16" customFormat="false" ht="32.25" hidden="false" customHeight="true" outlineLevel="0" collapsed="false">
      <c r="A16" s="42" t="s">
        <v>256</v>
      </c>
      <c r="B16" s="71" t="n">
        <v>0</v>
      </c>
      <c r="C16" s="91" t="n">
        <f aca="false">B16/SUM(B11:B16)</f>
        <v>0</v>
      </c>
      <c r="D16" s="44" t="n">
        <v>0</v>
      </c>
      <c r="E16" s="44" t="n">
        <v>0</v>
      </c>
      <c r="F16" s="44" t="n">
        <v>0</v>
      </c>
      <c r="G16" s="43" t="s">
        <v>880</v>
      </c>
      <c r="H16" s="43"/>
    </row>
    <row r="17" customFormat="false" ht="15" hidden="false" customHeight="true" outlineLevel="0" collapsed="false">
      <c r="A17" s="35" t="s">
        <v>472</v>
      </c>
      <c r="B17" s="73" t="n">
        <f aca="false">SUM(B11:B16)</f>
        <v>360.05</v>
      </c>
      <c r="C17" s="92" t="s">
        <v>881</v>
      </c>
      <c r="D17" s="72"/>
      <c r="E17" s="72"/>
      <c r="F17" s="72"/>
      <c r="G17" s="72"/>
      <c r="H17" s="72"/>
    </row>
    <row r="19" customFormat="false" ht="21.75" hidden="false" customHeight="true" outlineLevel="0" collapsed="false">
      <c r="A19" s="93" t="s">
        <v>882</v>
      </c>
      <c r="B19" s="93"/>
      <c r="C19" s="93"/>
      <c r="D19" s="93"/>
      <c r="E19" s="93"/>
      <c r="F19" s="93"/>
      <c r="G19" s="93"/>
      <c r="H19" s="93"/>
    </row>
    <row r="20" customFormat="false" ht="21.75" hidden="false" customHeight="true" outlineLevel="0" collapsed="false">
      <c r="A20" s="3" t="s">
        <v>883</v>
      </c>
      <c r="B20" s="3" t="s">
        <v>884</v>
      </c>
      <c r="C20" s="3" t="s">
        <v>885</v>
      </c>
      <c r="D20" s="3" t="s">
        <v>886</v>
      </c>
      <c r="E20" s="3" t="s">
        <v>887</v>
      </c>
      <c r="F20" s="3"/>
      <c r="G20" s="3"/>
      <c r="H20" s="3"/>
    </row>
    <row r="21" customFormat="false" ht="15" hidden="false" customHeight="true" outlineLevel="0" collapsed="false">
      <c r="A21" s="94" t="s">
        <v>888</v>
      </c>
      <c r="B21" s="95" t="n">
        <v>554</v>
      </c>
      <c r="C21" s="96" t="n">
        <v>0.69</v>
      </c>
      <c r="D21" s="97" t="s">
        <v>889</v>
      </c>
      <c r="E21" s="94" t="s">
        <v>890</v>
      </c>
      <c r="F21" s="97"/>
      <c r="G21" s="97"/>
      <c r="H21" s="97"/>
    </row>
    <row r="22" customFormat="false" ht="21.75" hidden="false" customHeight="true" outlineLevel="0" collapsed="false">
      <c r="A22" s="98" t="s">
        <v>891</v>
      </c>
      <c r="B22" s="99" t="n">
        <v>1684</v>
      </c>
      <c r="C22" s="100" t="n">
        <v>2.21</v>
      </c>
      <c r="D22" s="101" t="s">
        <v>889</v>
      </c>
      <c r="E22" s="98" t="s">
        <v>892</v>
      </c>
      <c r="F22" s="101"/>
      <c r="G22" s="101"/>
      <c r="H22" s="101"/>
    </row>
    <row r="23" customFormat="false" ht="21.75" hidden="false" customHeight="true" outlineLevel="0" collapsed="false">
      <c r="A23" s="102" t="s">
        <v>893</v>
      </c>
      <c r="B23" s="103" t="s">
        <v>42</v>
      </c>
      <c r="C23" s="104" t="n">
        <v>2.9</v>
      </c>
      <c r="D23" s="105" t="s">
        <v>894</v>
      </c>
      <c r="E23" s="102" t="s">
        <v>895</v>
      </c>
      <c r="F23" s="105"/>
      <c r="G23" s="105"/>
      <c r="H23" s="105"/>
    </row>
  </sheetData>
  <mergeCells count="4">
    <mergeCell ref="A1:H1"/>
    <mergeCell ref="A2:H2"/>
    <mergeCell ref="A9:H9"/>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10"/>
    <col collapsed="false" customWidth="true" hidden="false" outlineLevel="0" max="4" min="4" style="1" width="18"/>
    <col collapsed="false" customWidth="true" hidden="false" outlineLevel="0" max="5" min="5" style="1" width="14"/>
    <col collapsed="false" customWidth="true" hidden="false" outlineLevel="0" max="6" min="6" style="1" width="18"/>
    <col collapsed="false" customWidth="true" hidden="false" outlineLevel="0" max="7" min="7" style="1" width="14"/>
    <col collapsed="false" customWidth="true" hidden="false" outlineLevel="0" max="8" min="8" style="1" width="18"/>
    <col collapsed="false" customWidth="true" hidden="false" outlineLevel="0" max="9" min="9" style="1" width="46"/>
  </cols>
  <sheetData>
    <row r="1" customFormat="false" ht="27.75" hidden="false" customHeight="true" outlineLevel="0" collapsed="false">
      <c r="A1" s="8" t="s">
        <v>896</v>
      </c>
      <c r="B1" s="8"/>
      <c r="C1" s="8"/>
      <c r="D1" s="8"/>
      <c r="E1" s="8"/>
      <c r="F1" s="8"/>
      <c r="G1" s="8"/>
      <c r="H1" s="8"/>
      <c r="I1" s="8"/>
    </row>
    <row r="2" customFormat="false" ht="42" hidden="false" customHeight="true" outlineLevel="0" collapsed="false">
      <c r="A2" s="3" t="s">
        <v>897</v>
      </c>
      <c r="B2" s="3" t="s">
        <v>898</v>
      </c>
      <c r="C2" s="3" t="s">
        <v>899</v>
      </c>
      <c r="D2" s="3" t="s">
        <v>900</v>
      </c>
      <c r="E2" s="3" t="s">
        <v>901</v>
      </c>
      <c r="F2" s="3" t="s">
        <v>902</v>
      </c>
      <c r="G2" s="3" t="s">
        <v>903</v>
      </c>
      <c r="H2" s="3" t="s">
        <v>904</v>
      </c>
      <c r="I2" s="3" t="s">
        <v>140</v>
      </c>
    </row>
    <row r="3" customFormat="false" ht="21.75" hidden="false" customHeight="true" outlineLevel="0" collapsed="false">
      <c r="A3" s="27" t="s">
        <v>905</v>
      </c>
      <c r="B3" s="106" t="n">
        <v>110.64</v>
      </c>
      <c r="C3" s="106" t="n">
        <v>138.68</v>
      </c>
      <c r="D3" s="107" t="n">
        <v>1342.091</v>
      </c>
      <c r="E3" s="106" t="n">
        <v>128.55</v>
      </c>
      <c r="F3" s="107" t="n">
        <v>632.95</v>
      </c>
      <c r="G3" s="106" t="n">
        <v>122.47</v>
      </c>
      <c r="H3" s="107" t="n">
        <v>344.14</v>
      </c>
      <c r="I3" s="27" t="s">
        <v>906</v>
      </c>
    </row>
    <row r="4" customFormat="false" ht="15" hidden="false" customHeight="true" outlineLevel="0" collapsed="false">
      <c r="A4" s="27" t="s">
        <v>907</v>
      </c>
      <c r="B4" s="106" t="n">
        <v>82.296</v>
      </c>
      <c r="C4" s="106" t="n">
        <v>105.156</v>
      </c>
      <c r="D4" s="107" t="n">
        <v>770.67</v>
      </c>
      <c r="E4" s="106" t="n">
        <v>96.4</v>
      </c>
      <c r="F4" s="107" t="n">
        <v>298.58</v>
      </c>
      <c r="G4" s="106" t="n">
        <v>96.937</v>
      </c>
      <c r="H4" s="107" t="n">
        <v>320.919</v>
      </c>
      <c r="I4" s="27" t="s">
        <v>908</v>
      </c>
    </row>
    <row r="5" customFormat="false" ht="15" hidden="false" customHeight="true" outlineLevel="0" collapsed="false">
      <c r="A5" s="27" t="s">
        <v>909</v>
      </c>
      <c r="B5" s="106" t="n">
        <v>114.3</v>
      </c>
      <c r="C5" s="106" t="n">
        <v>127.711</v>
      </c>
      <c r="D5" s="107" t="n">
        <v>126.266</v>
      </c>
      <c r="E5" s="106" t="n">
        <v>121.18</v>
      </c>
      <c r="F5" s="107" t="n">
        <v>37.59</v>
      </c>
      <c r="G5" s="106" t="n">
        <v>117.928</v>
      </c>
      <c r="H5" s="107" t="n">
        <v>14.57</v>
      </c>
      <c r="I5" s="27" t="s">
        <v>910</v>
      </c>
    </row>
    <row r="6" customFormat="false" ht="15" hidden="false" customHeight="true" outlineLevel="0" collapsed="false">
      <c r="A6" s="108" t="s">
        <v>911</v>
      </c>
      <c r="B6" s="39" t="n">
        <v>243.23</v>
      </c>
      <c r="C6" s="39" t="n">
        <v>262.13</v>
      </c>
      <c r="D6" s="109" t="n">
        <v>1367</v>
      </c>
      <c r="E6" s="39" t="n">
        <v>250.19</v>
      </c>
      <c r="F6" s="109" t="n">
        <v>314.88</v>
      </c>
      <c r="G6" s="39" t="n">
        <v>252.31</v>
      </c>
      <c r="H6" s="109" t="n">
        <v>413.61</v>
      </c>
      <c r="I6" s="41" t="s">
        <v>912</v>
      </c>
    </row>
    <row r="7" customFormat="false" ht="15" hidden="false" customHeight="true" outlineLevel="0" collapsed="false">
      <c r="A7" s="108" t="s">
        <v>913</v>
      </c>
      <c r="B7" s="39" t="n">
        <v>193.3</v>
      </c>
      <c r="C7" s="39" t="n">
        <v>196.6</v>
      </c>
      <c r="D7" s="109" t="n">
        <v>21.958</v>
      </c>
      <c r="E7" s="39" t="n">
        <v>194.4</v>
      </c>
      <c r="F7" s="110" t="s">
        <v>42</v>
      </c>
      <c r="G7" s="39" t="n">
        <v>196.23</v>
      </c>
      <c r="H7" s="110" t="s">
        <v>42</v>
      </c>
      <c r="I7" s="41" t="s">
        <v>912</v>
      </c>
    </row>
    <row r="8" customFormat="false" ht="15" hidden="false" customHeight="true" outlineLevel="0" collapsed="false">
      <c r="A8" s="108" t="s">
        <v>914</v>
      </c>
      <c r="B8" s="39" t="n">
        <v>615.54</v>
      </c>
      <c r="C8" s="39" t="n">
        <v>659.43</v>
      </c>
      <c r="D8" s="109" t="n">
        <v>3160</v>
      </c>
      <c r="E8" s="39" t="n">
        <v>623.1</v>
      </c>
      <c r="F8" s="109" t="n">
        <v>18.655</v>
      </c>
      <c r="G8" s="39" t="n">
        <v>628.7</v>
      </c>
      <c r="H8" s="109" t="n">
        <v>11.985</v>
      </c>
      <c r="I8" s="41" t="s">
        <v>915</v>
      </c>
    </row>
    <row r="9" customFormat="false" ht="15" hidden="false" customHeight="true" outlineLevel="0" collapsed="false">
      <c r="A9" s="108" t="s">
        <v>916</v>
      </c>
      <c r="B9" s="39" t="n">
        <v>590.1</v>
      </c>
      <c r="C9" s="39" t="n">
        <v>607.1</v>
      </c>
      <c r="D9" s="109" t="n">
        <v>582.4</v>
      </c>
      <c r="E9" s="39" t="n">
        <v>594.7</v>
      </c>
      <c r="F9" s="109" t="n">
        <v>124.86</v>
      </c>
      <c r="G9" s="39" t="n">
        <v>594.99</v>
      </c>
      <c r="H9" s="109" t="n">
        <v>134.9</v>
      </c>
      <c r="I9" s="41" t="s">
        <v>915</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4"/>
    <col collapsed="false" customWidth="true" hidden="false" outlineLevel="0" max="3" min="2" style="1" width="18"/>
    <col collapsed="false" customWidth="true" hidden="false" outlineLevel="0" max="6" min="4" style="1" width="14"/>
    <col collapsed="false" customWidth="true" hidden="false" outlineLevel="0" max="7" min="7" style="1" width="18"/>
    <col collapsed="false" customWidth="true" hidden="false" outlineLevel="0" max="8" min="8" style="1" width="38"/>
  </cols>
  <sheetData>
    <row r="1" customFormat="false" ht="27.75" hidden="false" customHeight="true" outlineLevel="0" collapsed="false">
      <c r="A1" s="8" t="s">
        <v>917</v>
      </c>
      <c r="B1" s="8"/>
      <c r="C1" s="8"/>
      <c r="D1" s="8"/>
      <c r="E1" s="8"/>
      <c r="F1" s="8"/>
      <c r="G1" s="8"/>
      <c r="H1" s="8"/>
    </row>
    <row r="2" customFormat="false" ht="21.75" hidden="false" customHeight="true" outlineLevel="0" collapsed="false">
      <c r="A2" s="78" t="s">
        <v>918</v>
      </c>
      <c r="B2" s="78"/>
      <c r="C2" s="78"/>
      <c r="D2" s="78"/>
      <c r="E2" s="78"/>
      <c r="F2" s="78"/>
      <c r="G2" s="78"/>
      <c r="H2" s="78"/>
    </row>
    <row r="3" customFormat="false" ht="36" hidden="false" customHeight="true" outlineLevel="0" collapsed="false">
      <c r="A3" s="3" t="s">
        <v>475</v>
      </c>
      <c r="B3" s="3" t="s">
        <v>919</v>
      </c>
      <c r="C3" s="3" t="s">
        <v>920</v>
      </c>
      <c r="D3" s="3" t="s">
        <v>921</v>
      </c>
      <c r="E3" s="3" t="s">
        <v>922</v>
      </c>
      <c r="F3" s="3" t="s">
        <v>923</v>
      </c>
      <c r="G3" s="3" t="s">
        <v>924</v>
      </c>
      <c r="H3" s="3" t="s">
        <v>479</v>
      </c>
    </row>
    <row r="4" customFormat="false" ht="15" hidden="false" customHeight="true" outlineLevel="0" collapsed="false">
      <c r="A4" s="5" t="s">
        <v>925</v>
      </c>
      <c r="B4" s="111" t="n">
        <v>8.38</v>
      </c>
      <c r="C4" s="111" t="n">
        <v>0</v>
      </c>
      <c r="D4" s="111" t="n">
        <v>0.52</v>
      </c>
      <c r="E4" s="111" t="n">
        <v>1.07</v>
      </c>
      <c r="F4" s="111" t="n">
        <v>2.69</v>
      </c>
      <c r="G4" s="111" t="n">
        <v>12.66</v>
      </c>
      <c r="H4" s="41"/>
    </row>
    <row r="5" customFormat="false" ht="15" hidden="false" customHeight="true" outlineLevel="0" collapsed="false">
      <c r="A5" s="6" t="s">
        <v>926</v>
      </c>
      <c r="B5" s="112" t="n">
        <v>17.12</v>
      </c>
      <c r="C5" s="112" t="n">
        <v>0</v>
      </c>
      <c r="D5" s="112" t="n">
        <v>0</v>
      </c>
      <c r="E5" s="112" t="n">
        <v>0</v>
      </c>
      <c r="F5" s="112" t="n">
        <v>0</v>
      </c>
      <c r="G5" s="112" t="n">
        <v>17.12</v>
      </c>
      <c r="H5" s="113"/>
    </row>
    <row r="6" customFormat="false" ht="15" hidden="false" customHeight="true" outlineLevel="0" collapsed="false">
      <c r="A6" s="5" t="s">
        <v>927</v>
      </c>
      <c r="B6" s="111" t="n">
        <v>79.01</v>
      </c>
      <c r="C6" s="111" t="n">
        <v>-0.45</v>
      </c>
      <c r="D6" s="111" t="n">
        <v>-0.01</v>
      </c>
      <c r="E6" s="111" t="n">
        <v>-2.7</v>
      </c>
      <c r="F6" s="111" t="n">
        <v>-4.83</v>
      </c>
      <c r="G6" s="111" t="n">
        <v>71.02</v>
      </c>
      <c r="H6" s="41" t="s">
        <v>928</v>
      </c>
    </row>
    <row r="7" customFormat="false" ht="15" hidden="false" customHeight="true" outlineLevel="0" collapsed="false">
      <c r="A7" s="6" t="s">
        <v>929</v>
      </c>
      <c r="B7" s="112" t="n">
        <v>23.54</v>
      </c>
      <c r="C7" s="112" t="n">
        <v>1.59</v>
      </c>
      <c r="D7" s="112" t="n">
        <v>0</v>
      </c>
      <c r="E7" s="112" t="n">
        <v>4.18</v>
      </c>
      <c r="F7" s="112" t="n">
        <v>1.36</v>
      </c>
      <c r="G7" s="112" t="n">
        <v>30.68</v>
      </c>
      <c r="H7" s="113"/>
    </row>
    <row r="8" customFormat="false" ht="15" hidden="false" customHeight="true" outlineLevel="0" collapsed="false">
      <c r="A8" s="5" t="s">
        <v>930</v>
      </c>
      <c r="B8" s="111" t="n">
        <v>16.02</v>
      </c>
      <c r="C8" s="111" t="n">
        <v>3.52</v>
      </c>
      <c r="D8" s="111" t="n">
        <v>0</v>
      </c>
      <c r="E8" s="111" t="n">
        <v>-1.13</v>
      </c>
      <c r="F8" s="111" t="n">
        <v>-0.62</v>
      </c>
      <c r="G8" s="111" t="n">
        <v>17.8</v>
      </c>
      <c r="H8" s="41"/>
    </row>
    <row r="9" customFormat="false" ht="15" hidden="false" customHeight="true" outlineLevel="0" collapsed="false">
      <c r="A9" s="42" t="s">
        <v>931</v>
      </c>
      <c r="B9" s="71" t="n">
        <v>143.87</v>
      </c>
      <c r="C9" s="71" t="n">
        <v>12.68</v>
      </c>
      <c r="D9" s="71" t="n">
        <v>3.6</v>
      </c>
      <c r="E9" s="71" t="n">
        <v>6.95</v>
      </c>
      <c r="F9" s="71" t="n">
        <v>7.38</v>
      </c>
      <c r="G9" s="71" t="n">
        <v>174.49</v>
      </c>
      <c r="H9" s="42" t="s">
        <v>932</v>
      </c>
    </row>
    <row r="10" customFormat="false" ht="15" hidden="false" customHeight="true" outlineLevel="0" collapsed="false">
      <c r="A10" s="5" t="s">
        <v>933</v>
      </c>
      <c r="B10" s="111" t="n">
        <v>143.79</v>
      </c>
      <c r="C10" s="111" t="n">
        <v>-1.58</v>
      </c>
      <c r="D10" s="111" t="n">
        <v>1</v>
      </c>
      <c r="E10" s="111" t="n">
        <v>8.38</v>
      </c>
      <c r="F10" s="111" t="n">
        <v>8.21</v>
      </c>
      <c r="G10" s="111" t="n">
        <v>159.8</v>
      </c>
      <c r="H10" s="41"/>
    </row>
    <row r="11" customFormat="false" ht="15" hidden="false" customHeight="true" outlineLevel="0" collapsed="false">
      <c r="A11" s="6" t="s">
        <v>934</v>
      </c>
      <c r="B11" s="112" t="n">
        <v>193.75</v>
      </c>
      <c r="C11" s="112" t="n">
        <v>3.16</v>
      </c>
      <c r="D11" s="112" t="n">
        <v>1.53</v>
      </c>
      <c r="E11" s="112" t="n">
        <v>18.83</v>
      </c>
      <c r="F11" s="112" t="n">
        <v>50.33</v>
      </c>
      <c r="G11" s="112" t="n">
        <v>267.58</v>
      </c>
      <c r="H11" s="113"/>
    </row>
    <row r="12" customFormat="false" ht="15" hidden="false" customHeight="true" outlineLevel="0" collapsed="false">
      <c r="A12" s="5" t="s">
        <v>935</v>
      </c>
      <c r="B12" s="111" t="n">
        <v>6.38</v>
      </c>
      <c r="C12" s="111" t="n">
        <v>0</v>
      </c>
      <c r="D12" s="111" t="n">
        <v>0.23</v>
      </c>
      <c r="E12" s="111" t="n">
        <v>0</v>
      </c>
      <c r="F12" s="111" t="n">
        <v>0</v>
      </c>
      <c r="G12" s="111" t="n">
        <v>6.61</v>
      </c>
      <c r="H12" s="41"/>
    </row>
    <row r="13" customFormat="false" ht="15" hidden="false" customHeight="true" outlineLevel="0" collapsed="false">
      <c r="A13" s="6" t="s">
        <v>936</v>
      </c>
      <c r="B13" s="112" t="n">
        <v>631.86</v>
      </c>
      <c r="C13" s="112" t="n">
        <v>18.92</v>
      </c>
      <c r="D13" s="112" t="n">
        <v>6.87</v>
      </c>
      <c r="E13" s="112" t="n">
        <v>35.58</v>
      </c>
      <c r="F13" s="112" t="n">
        <v>64.52</v>
      </c>
      <c r="G13" s="112" t="n">
        <v>757.76</v>
      </c>
      <c r="H13" s="113"/>
    </row>
    <row r="15" customFormat="false" ht="24" hidden="false" customHeight="true" outlineLevel="0" collapsed="false">
      <c r="A15" s="114" t="s">
        <v>937</v>
      </c>
      <c r="B15" s="114"/>
      <c r="C15" s="114"/>
      <c r="D15" s="114"/>
      <c r="E15" s="114"/>
      <c r="F15" s="114"/>
      <c r="G15" s="114"/>
      <c r="H15" s="114"/>
    </row>
    <row r="17" customFormat="false" ht="21.75" hidden="false" customHeight="true" outlineLevel="0" collapsed="false">
      <c r="A17" s="78" t="s">
        <v>938</v>
      </c>
      <c r="B17" s="78"/>
      <c r="C17" s="78"/>
      <c r="D17" s="78"/>
      <c r="E17" s="78"/>
      <c r="F17" s="78"/>
      <c r="G17" s="78"/>
      <c r="H17" s="78"/>
    </row>
    <row r="18" customFormat="false" ht="15" hidden="false" customHeight="true" outlineLevel="0" collapsed="false">
      <c r="A18" s="3" t="s">
        <v>857</v>
      </c>
      <c r="B18" s="3" t="s">
        <v>939</v>
      </c>
      <c r="C18" s="3"/>
      <c r="D18" s="3"/>
      <c r="E18" s="3"/>
      <c r="F18" s="3"/>
      <c r="G18" s="3"/>
      <c r="H18" s="3"/>
    </row>
    <row r="19" customFormat="false" ht="15" hidden="false" customHeight="true" outlineLevel="0" collapsed="false">
      <c r="A19" s="115" t="s">
        <v>940</v>
      </c>
      <c r="B19" s="116" t="s">
        <v>941</v>
      </c>
      <c r="C19" s="117" t="s">
        <v>942</v>
      </c>
      <c r="D19" s="117"/>
      <c r="E19" s="117"/>
      <c r="F19" s="117"/>
      <c r="G19" s="117"/>
      <c r="H19" s="117"/>
    </row>
    <row r="20" customFormat="false" ht="15" hidden="false" customHeight="true" outlineLevel="0" collapsed="false">
      <c r="A20" s="108" t="s">
        <v>943</v>
      </c>
      <c r="B20" s="40" t="s">
        <v>944</v>
      </c>
      <c r="C20" s="118" t="s">
        <v>945</v>
      </c>
      <c r="D20" s="118"/>
      <c r="E20" s="118"/>
      <c r="F20" s="118"/>
      <c r="G20" s="118"/>
      <c r="H20" s="118"/>
    </row>
    <row r="21" customFormat="false" ht="15" hidden="false" customHeight="true" outlineLevel="0" collapsed="false">
      <c r="A21" s="115" t="s">
        <v>946</v>
      </c>
      <c r="B21" s="116" t="s">
        <v>947</v>
      </c>
      <c r="C21" s="117" t="s">
        <v>948</v>
      </c>
      <c r="D21" s="117"/>
      <c r="E21" s="117"/>
      <c r="F21" s="117"/>
      <c r="G21" s="117"/>
      <c r="H21" s="117"/>
    </row>
    <row r="22" customFormat="false" ht="15" hidden="false" customHeight="true" outlineLevel="0" collapsed="false">
      <c r="A22" s="94" t="s">
        <v>949</v>
      </c>
      <c r="B22" s="119" t="s">
        <v>950</v>
      </c>
      <c r="C22" s="120" t="s">
        <v>951</v>
      </c>
      <c r="D22" s="120"/>
      <c r="E22" s="120"/>
      <c r="F22" s="120"/>
      <c r="G22" s="120"/>
      <c r="H22" s="120"/>
    </row>
    <row r="23" customFormat="false" ht="15" hidden="false" customHeight="true" outlineLevel="0" collapsed="false">
      <c r="A23" s="115" t="s">
        <v>952</v>
      </c>
      <c r="B23" s="116" t="s">
        <v>953</v>
      </c>
      <c r="C23" s="117" t="s">
        <v>954</v>
      </c>
      <c r="D23" s="117"/>
      <c r="E23" s="117"/>
      <c r="F23" s="117"/>
      <c r="G23" s="117"/>
      <c r="H23" s="117"/>
    </row>
    <row r="24" customFormat="false" ht="15" hidden="false" customHeight="true" outlineLevel="0" collapsed="false">
      <c r="A24" s="108" t="s">
        <v>955</v>
      </c>
      <c r="B24" s="40" t="s">
        <v>956</v>
      </c>
      <c r="C24" s="118"/>
      <c r="D24" s="118"/>
      <c r="E24" s="118"/>
      <c r="F24" s="118"/>
      <c r="G24" s="118"/>
      <c r="H24" s="118"/>
    </row>
    <row r="25" customFormat="false" ht="15" hidden="false" customHeight="true" outlineLevel="0" collapsed="false">
      <c r="A25" s="115" t="s">
        <v>957</v>
      </c>
      <c r="B25" s="116" t="s">
        <v>958</v>
      </c>
      <c r="C25" s="117"/>
      <c r="D25" s="117"/>
      <c r="E25" s="117"/>
      <c r="F25" s="117"/>
      <c r="G25" s="117"/>
      <c r="H25" s="117"/>
    </row>
  </sheetData>
  <mergeCells count="11">
    <mergeCell ref="A1:H1"/>
    <mergeCell ref="A2:H2"/>
    <mergeCell ref="A15:H15"/>
    <mergeCell ref="A17:H17"/>
    <mergeCell ref="C19:H19"/>
    <mergeCell ref="C20:H20"/>
    <mergeCell ref="C21:H21"/>
    <mergeCell ref="C22:H22"/>
    <mergeCell ref="C23:H23"/>
    <mergeCell ref="C24:H24"/>
    <mergeCell ref="C25:H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6"/>
    <col collapsed="false" customWidth="true" hidden="false" outlineLevel="0" max="5" min="3" style="1" width="16"/>
    <col collapsed="false" customWidth="true" hidden="false" outlineLevel="0" max="6" min="6" style="1" width="32"/>
    <col collapsed="false" customWidth="true" hidden="false" outlineLevel="0" max="7" min="7" style="1" width="16"/>
    <col collapsed="false" customWidth="true" hidden="false" outlineLevel="0" max="8" min="8" style="1" width="18"/>
    <col collapsed="false" customWidth="true" hidden="false" outlineLevel="0" max="9" min="9" style="1" width="14"/>
    <col collapsed="false" customWidth="true" hidden="false" outlineLevel="0" max="10" min="10" style="1" width="36"/>
  </cols>
  <sheetData>
    <row r="1" customFormat="false" ht="27.75" hidden="false" customHeight="true" outlineLevel="0" collapsed="false">
      <c r="A1" s="8" t="s">
        <v>959</v>
      </c>
      <c r="B1" s="8"/>
      <c r="C1" s="8"/>
      <c r="D1" s="8"/>
      <c r="E1" s="8"/>
      <c r="F1" s="8"/>
      <c r="G1" s="8"/>
      <c r="H1" s="8"/>
      <c r="I1" s="8"/>
      <c r="J1" s="8"/>
    </row>
    <row r="2" customFormat="false" ht="36" hidden="false" customHeight="true" outlineLevel="0" collapsed="false">
      <c r="A2" s="121" t="s">
        <v>960</v>
      </c>
      <c r="B2" s="121"/>
      <c r="C2" s="121"/>
      <c r="D2" s="121"/>
      <c r="E2" s="121"/>
      <c r="F2" s="121"/>
      <c r="G2" s="121"/>
      <c r="H2" s="121"/>
      <c r="I2" s="121"/>
      <c r="J2" s="121"/>
    </row>
    <row r="3" customFormat="false" ht="21.75" hidden="false" customHeight="true" outlineLevel="0" collapsed="false">
      <c r="A3" s="78" t="s">
        <v>961</v>
      </c>
      <c r="B3" s="78"/>
      <c r="C3" s="78"/>
      <c r="D3" s="78"/>
      <c r="E3" s="78"/>
      <c r="F3" s="78"/>
      <c r="G3" s="78"/>
      <c r="H3" s="78"/>
      <c r="I3" s="78"/>
      <c r="J3" s="78"/>
    </row>
    <row r="4" customFormat="false" ht="21.75" hidden="false" customHeight="true" outlineLevel="0" collapsed="false">
      <c r="A4" s="3" t="s">
        <v>132</v>
      </c>
      <c r="B4" s="3" t="s">
        <v>962</v>
      </c>
      <c r="C4" s="3" t="s">
        <v>963</v>
      </c>
      <c r="D4" s="3" t="s">
        <v>964</v>
      </c>
      <c r="E4" s="3" t="s">
        <v>965</v>
      </c>
      <c r="F4" s="3" t="s">
        <v>966</v>
      </c>
      <c r="G4" s="3" t="s">
        <v>967</v>
      </c>
      <c r="H4" s="3" t="s">
        <v>968</v>
      </c>
      <c r="I4" s="3" t="s">
        <v>3</v>
      </c>
      <c r="J4" s="3" t="s">
        <v>140</v>
      </c>
    </row>
    <row r="5" customFormat="false" ht="15" hidden="false" customHeight="true" outlineLevel="0" collapsed="false">
      <c r="A5" s="40" t="n">
        <v>1</v>
      </c>
      <c r="B5" s="11" t="s">
        <v>969</v>
      </c>
      <c r="C5" s="15" t="s">
        <v>970</v>
      </c>
      <c r="D5" s="15" t="s">
        <v>971</v>
      </c>
      <c r="E5" s="86" t="s">
        <v>971</v>
      </c>
      <c r="F5" s="86" t="s">
        <v>972</v>
      </c>
      <c r="G5" s="15" t="s">
        <v>973</v>
      </c>
      <c r="H5" s="40" t="s">
        <v>974</v>
      </c>
      <c r="I5" s="41" t="s">
        <v>975</v>
      </c>
      <c r="J5" s="86" t="s">
        <v>976</v>
      </c>
    </row>
    <row r="6" customFormat="false" ht="15" hidden="false" customHeight="true" outlineLevel="0" collapsed="false">
      <c r="A6" s="40" t="n">
        <v>2</v>
      </c>
      <c r="B6" s="11" t="s">
        <v>977</v>
      </c>
      <c r="C6" s="15" t="s">
        <v>978</v>
      </c>
      <c r="D6" s="15" t="s">
        <v>971</v>
      </c>
      <c r="E6" s="86" t="s">
        <v>971</v>
      </c>
      <c r="F6" s="86" t="s">
        <v>42</v>
      </c>
      <c r="G6" s="15" t="s">
        <v>979</v>
      </c>
      <c r="H6" s="40" t="s">
        <v>980</v>
      </c>
      <c r="I6" s="41" t="s">
        <v>975</v>
      </c>
      <c r="J6" s="86" t="s">
        <v>981</v>
      </c>
    </row>
    <row r="7" customFormat="false" ht="15" hidden="false" customHeight="true" outlineLevel="0" collapsed="false">
      <c r="A7" s="40" t="n">
        <v>3</v>
      </c>
      <c r="B7" s="11" t="s">
        <v>982</v>
      </c>
      <c r="C7" s="12" t="s">
        <v>983</v>
      </c>
      <c r="D7" s="15" t="s">
        <v>971</v>
      </c>
      <c r="E7" s="86" t="s">
        <v>971</v>
      </c>
      <c r="F7" s="86" t="s">
        <v>984</v>
      </c>
      <c r="G7" s="15" t="s">
        <v>973</v>
      </c>
      <c r="H7" s="40" t="s">
        <v>985</v>
      </c>
      <c r="I7" s="41" t="s">
        <v>975</v>
      </c>
      <c r="J7" s="86"/>
    </row>
    <row r="8" customFormat="false" ht="15" hidden="false" customHeight="true" outlineLevel="0" collapsed="false">
      <c r="A8" s="40" t="n">
        <v>4</v>
      </c>
      <c r="B8" s="11" t="s">
        <v>986</v>
      </c>
      <c r="C8" s="12" t="s">
        <v>983</v>
      </c>
      <c r="D8" s="15" t="s">
        <v>971</v>
      </c>
      <c r="E8" s="86" t="s">
        <v>971</v>
      </c>
      <c r="F8" s="86" t="s">
        <v>987</v>
      </c>
      <c r="G8" s="15" t="s">
        <v>973</v>
      </c>
      <c r="H8" s="40" t="s">
        <v>988</v>
      </c>
      <c r="I8" s="41" t="s">
        <v>975</v>
      </c>
      <c r="J8" s="86" t="s">
        <v>989</v>
      </c>
    </row>
    <row r="9" customFormat="false" ht="15" hidden="false" customHeight="true" outlineLevel="0" collapsed="false">
      <c r="A9" s="40" t="n">
        <v>5</v>
      </c>
      <c r="B9" s="11" t="s">
        <v>990</v>
      </c>
      <c r="C9" s="122" t="s">
        <v>991</v>
      </c>
      <c r="D9" s="15" t="s">
        <v>971</v>
      </c>
      <c r="E9" s="86" t="s">
        <v>971</v>
      </c>
      <c r="F9" s="86" t="s">
        <v>992</v>
      </c>
      <c r="G9" s="15" t="s">
        <v>979</v>
      </c>
      <c r="H9" s="40" t="s">
        <v>993</v>
      </c>
      <c r="I9" s="41" t="s">
        <v>975</v>
      </c>
      <c r="J9" s="86" t="s">
        <v>994</v>
      </c>
    </row>
    <row r="10" customFormat="false" ht="15" hidden="false" customHeight="true" outlineLevel="0" collapsed="false">
      <c r="A10" s="40" t="n">
        <v>6</v>
      </c>
      <c r="B10" s="11" t="s">
        <v>995</v>
      </c>
      <c r="C10" s="122" t="s">
        <v>996</v>
      </c>
      <c r="D10" s="15" t="s">
        <v>971</v>
      </c>
      <c r="E10" s="86" t="s">
        <v>971</v>
      </c>
      <c r="F10" s="86" t="s">
        <v>997</v>
      </c>
      <c r="G10" s="15" t="s">
        <v>979</v>
      </c>
      <c r="H10" s="40" t="s">
        <v>998</v>
      </c>
      <c r="I10" s="41" t="s">
        <v>975</v>
      </c>
      <c r="J10" s="86" t="s">
        <v>999</v>
      </c>
    </row>
    <row r="11" customFormat="false" ht="15" hidden="false" customHeight="true" outlineLevel="0" collapsed="false">
      <c r="A11" s="40" t="n">
        <v>7</v>
      </c>
      <c r="B11" s="115" t="s">
        <v>1000</v>
      </c>
      <c r="C11" s="12" t="s">
        <v>983</v>
      </c>
      <c r="D11" s="116" t="s">
        <v>1001</v>
      </c>
      <c r="E11" s="6" t="s">
        <v>1002</v>
      </c>
      <c r="F11" s="6" t="s">
        <v>1003</v>
      </c>
      <c r="G11" s="116" t="s">
        <v>973</v>
      </c>
      <c r="H11" s="40" t="s">
        <v>1004</v>
      </c>
      <c r="I11" s="41" t="s">
        <v>975</v>
      </c>
      <c r="J11" s="6" t="s">
        <v>1005</v>
      </c>
    </row>
    <row r="12" customFormat="false" ht="15" hidden="false" customHeight="true" outlineLevel="0" collapsed="false">
      <c r="A12" s="40" t="n">
        <v>8</v>
      </c>
      <c r="B12" s="11" t="s">
        <v>1006</v>
      </c>
      <c r="C12" s="15" t="s">
        <v>970</v>
      </c>
      <c r="D12" s="15" t="s">
        <v>971</v>
      </c>
      <c r="E12" s="86" t="s">
        <v>971</v>
      </c>
      <c r="F12" s="86" t="s">
        <v>1007</v>
      </c>
      <c r="G12" s="15" t="s">
        <v>979</v>
      </c>
      <c r="H12" s="40" t="s">
        <v>1008</v>
      </c>
      <c r="I12" s="41" t="s">
        <v>975</v>
      </c>
      <c r="J12" s="86"/>
    </row>
    <row r="13" customFormat="false" ht="15" hidden="false" customHeight="true" outlineLevel="0" collapsed="false">
      <c r="A13" s="40" t="n">
        <v>9</v>
      </c>
      <c r="B13" s="11" t="s">
        <v>1009</v>
      </c>
      <c r="C13" s="15" t="s">
        <v>970</v>
      </c>
      <c r="D13" s="15" t="s">
        <v>971</v>
      </c>
      <c r="E13" s="86" t="s">
        <v>971</v>
      </c>
      <c r="F13" s="86" t="s">
        <v>42</v>
      </c>
      <c r="G13" s="15" t="s">
        <v>979</v>
      </c>
      <c r="H13" s="40" t="s">
        <v>1010</v>
      </c>
      <c r="I13" s="41" t="s">
        <v>975</v>
      </c>
      <c r="J13" s="86" t="s">
        <v>1011</v>
      </c>
    </row>
    <row r="14" customFormat="false" ht="15" hidden="false" customHeight="true" outlineLevel="0" collapsed="false">
      <c r="A14" s="40" t="n">
        <v>10</v>
      </c>
      <c r="B14" s="11" t="s">
        <v>1012</v>
      </c>
      <c r="C14" s="12" t="s">
        <v>983</v>
      </c>
      <c r="D14" s="15" t="s">
        <v>971</v>
      </c>
      <c r="E14" s="86" t="s">
        <v>1013</v>
      </c>
      <c r="F14" s="86" t="s">
        <v>42</v>
      </c>
      <c r="G14" s="15" t="s">
        <v>979</v>
      </c>
      <c r="H14" s="40" t="s">
        <v>1014</v>
      </c>
      <c r="I14" s="41" t="s">
        <v>975</v>
      </c>
      <c r="J14" s="86"/>
    </row>
    <row r="15" customFormat="false" ht="15" hidden="false" customHeight="true" outlineLevel="0" collapsed="false">
      <c r="A15" s="40" t="n">
        <v>11</v>
      </c>
      <c r="B15" s="20" t="s">
        <v>264</v>
      </c>
      <c r="C15" s="12" t="s">
        <v>983</v>
      </c>
      <c r="D15" s="12" t="s">
        <v>1015</v>
      </c>
      <c r="E15" s="88" t="s">
        <v>1016</v>
      </c>
      <c r="F15" s="88" t="s">
        <v>1017</v>
      </c>
      <c r="G15" s="12" t="s">
        <v>973</v>
      </c>
      <c r="H15" s="40" t="s">
        <v>1018</v>
      </c>
      <c r="I15" s="41" t="s">
        <v>975</v>
      </c>
      <c r="J15" s="88"/>
    </row>
    <row r="16" customFormat="false" ht="15" hidden="false" customHeight="true" outlineLevel="0" collapsed="false">
      <c r="A16" s="40" t="n">
        <v>12</v>
      </c>
      <c r="B16" s="20" t="s">
        <v>1019</v>
      </c>
      <c r="C16" s="12" t="s">
        <v>983</v>
      </c>
      <c r="D16" s="12" t="s">
        <v>1015</v>
      </c>
      <c r="E16" s="88" t="s">
        <v>1020</v>
      </c>
      <c r="F16" s="88" t="s">
        <v>42</v>
      </c>
      <c r="G16" s="12" t="s">
        <v>1021</v>
      </c>
      <c r="H16" s="40" t="s">
        <v>1022</v>
      </c>
      <c r="I16" s="41" t="s">
        <v>975</v>
      </c>
      <c r="J16" s="88" t="s">
        <v>1023</v>
      </c>
    </row>
    <row r="17" customFormat="false" ht="15" hidden="false" customHeight="true" outlineLevel="0" collapsed="false">
      <c r="A17" s="40" t="n">
        <v>13</v>
      </c>
      <c r="B17" s="20" t="s">
        <v>1024</v>
      </c>
      <c r="C17" s="15" t="s">
        <v>970</v>
      </c>
      <c r="D17" s="12" t="s">
        <v>1015</v>
      </c>
      <c r="E17" s="88" t="s">
        <v>1020</v>
      </c>
      <c r="F17" s="88" t="s">
        <v>42</v>
      </c>
      <c r="G17" s="12" t="s">
        <v>979</v>
      </c>
      <c r="H17" s="40" t="s">
        <v>1025</v>
      </c>
      <c r="I17" s="41" t="s">
        <v>975</v>
      </c>
      <c r="J17" s="88" t="s">
        <v>1026</v>
      </c>
    </row>
    <row r="18" customFormat="false" ht="15" hidden="false" customHeight="true" outlineLevel="0" collapsed="false">
      <c r="A18" s="40" t="n">
        <v>14</v>
      </c>
      <c r="B18" s="20" t="s">
        <v>1027</v>
      </c>
      <c r="C18" s="12" t="s">
        <v>983</v>
      </c>
      <c r="D18" s="12" t="s">
        <v>1015</v>
      </c>
      <c r="E18" s="88" t="s">
        <v>1028</v>
      </c>
      <c r="F18" s="88" t="s">
        <v>42</v>
      </c>
      <c r="G18" s="12" t="s">
        <v>1021</v>
      </c>
      <c r="H18" s="40" t="s">
        <v>1029</v>
      </c>
      <c r="I18" s="41" t="s">
        <v>975</v>
      </c>
      <c r="J18" s="88"/>
    </row>
    <row r="19" customFormat="false" ht="15" hidden="false" customHeight="true" outlineLevel="0" collapsed="false">
      <c r="A19" s="40" t="n">
        <v>15</v>
      </c>
      <c r="B19" s="20" t="s">
        <v>1030</v>
      </c>
      <c r="C19" s="12" t="s">
        <v>983</v>
      </c>
      <c r="D19" s="12" t="s">
        <v>1015</v>
      </c>
      <c r="E19" s="88" t="s">
        <v>1031</v>
      </c>
      <c r="F19" s="88" t="s">
        <v>42</v>
      </c>
      <c r="G19" s="12" t="s">
        <v>1021</v>
      </c>
      <c r="H19" s="40" t="s">
        <v>1032</v>
      </c>
      <c r="I19" s="41" t="s">
        <v>975</v>
      </c>
      <c r="J19" s="88"/>
    </row>
    <row r="20" customFormat="false" ht="15" hidden="false" customHeight="true" outlineLevel="0" collapsed="false">
      <c r="A20" s="40" t="n">
        <v>16</v>
      </c>
      <c r="B20" s="20" t="s">
        <v>1033</v>
      </c>
      <c r="C20" s="12" t="s">
        <v>983</v>
      </c>
      <c r="D20" s="12" t="s">
        <v>1015</v>
      </c>
      <c r="E20" s="88" t="s">
        <v>1028</v>
      </c>
      <c r="F20" s="88" t="s">
        <v>1034</v>
      </c>
      <c r="G20" s="12" t="s">
        <v>973</v>
      </c>
      <c r="H20" s="40" t="s">
        <v>1035</v>
      </c>
      <c r="I20" s="41" t="s">
        <v>975</v>
      </c>
      <c r="J20" s="88" t="s">
        <v>1036</v>
      </c>
    </row>
    <row r="21" customFormat="false" ht="15" hidden="false" customHeight="true" outlineLevel="0" collapsed="false">
      <c r="A21" s="40" t="n">
        <v>17</v>
      </c>
      <c r="B21" s="20" t="s">
        <v>1037</v>
      </c>
      <c r="C21" s="12" t="s">
        <v>983</v>
      </c>
      <c r="D21" s="12" t="s">
        <v>1015</v>
      </c>
      <c r="E21" s="88" t="s">
        <v>1038</v>
      </c>
      <c r="F21" s="88" t="s">
        <v>42</v>
      </c>
      <c r="G21" s="12" t="s">
        <v>1021</v>
      </c>
      <c r="H21" s="40" t="s">
        <v>1039</v>
      </c>
      <c r="I21" s="41" t="s">
        <v>975</v>
      </c>
      <c r="J21" s="88"/>
    </row>
    <row r="22" customFormat="false" ht="15" hidden="false" customHeight="true" outlineLevel="0" collapsed="false">
      <c r="A22" s="40" t="n">
        <v>18</v>
      </c>
      <c r="B22" s="20" t="s">
        <v>1040</v>
      </c>
      <c r="C22" s="12" t="s">
        <v>983</v>
      </c>
      <c r="D22" s="12" t="s">
        <v>1015</v>
      </c>
      <c r="E22" s="88" t="s">
        <v>1016</v>
      </c>
      <c r="F22" s="88" t="s">
        <v>42</v>
      </c>
      <c r="G22" s="12" t="s">
        <v>1021</v>
      </c>
      <c r="H22" s="40" t="s">
        <v>1041</v>
      </c>
      <c r="I22" s="41" t="s">
        <v>975</v>
      </c>
      <c r="J22" s="88"/>
    </row>
    <row r="23" customFormat="false" ht="15" hidden="false" customHeight="true" outlineLevel="0" collapsed="false">
      <c r="A23" s="40" t="n">
        <v>19</v>
      </c>
      <c r="B23" s="20" t="s">
        <v>1042</v>
      </c>
      <c r="C23" s="12" t="s">
        <v>983</v>
      </c>
      <c r="D23" s="12" t="s">
        <v>1015</v>
      </c>
      <c r="E23" s="88" t="s">
        <v>1043</v>
      </c>
      <c r="F23" s="88" t="s">
        <v>42</v>
      </c>
      <c r="G23" s="12" t="s">
        <v>1021</v>
      </c>
      <c r="H23" s="40" t="s">
        <v>1044</v>
      </c>
      <c r="I23" s="41" t="s">
        <v>975</v>
      </c>
      <c r="J23" s="88"/>
    </row>
    <row r="24" customFormat="false" ht="15" hidden="false" customHeight="true" outlineLevel="0" collapsed="false">
      <c r="A24" s="40" t="n">
        <v>20</v>
      </c>
      <c r="B24" s="20" t="s">
        <v>1045</v>
      </c>
      <c r="C24" s="12" t="s">
        <v>983</v>
      </c>
      <c r="D24" s="12" t="s">
        <v>1015</v>
      </c>
      <c r="E24" s="88" t="s">
        <v>1043</v>
      </c>
      <c r="F24" s="88" t="s">
        <v>42</v>
      </c>
      <c r="G24" s="12" t="s">
        <v>979</v>
      </c>
      <c r="H24" s="40" t="s">
        <v>1046</v>
      </c>
      <c r="I24" s="41" t="s">
        <v>975</v>
      </c>
      <c r="J24" s="88"/>
    </row>
    <row r="25" customFormat="false" ht="15" hidden="false" customHeight="true" outlineLevel="0" collapsed="false">
      <c r="A25" s="40" t="n">
        <v>21</v>
      </c>
      <c r="B25" s="20" t="s">
        <v>1047</v>
      </c>
      <c r="C25" s="12" t="s">
        <v>983</v>
      </c>
      <c r="D25" s="12" t="s">
        <v>1015</v>
      </c>
      <c r="E25" s="88" t="s">
        <v>1043</v>
      </c>
      <c r="F25" s="88" t="s">
        <v>1007</v>
      </c>
      <c r="G25" s="12" t="s">
        <v>979</v>
      </c>
      <c r="H25" s="40" t="s">
        <v>1048</v>
      </c>
      <c r="I25" s="41" t="s">
        <v>975</v>
      </c>
      <c r="J25" s="88" t="s">
        <v>1049</v>
      </c>
    </row>
    <row r="26" customFormat="false" ht="15" hidden="false" customHeight="true" outlineLevel="0" collapsed="false">
      <c r="A26" s="40" t="n">
        <v>22</v>
      </c>
      <c r="B26" s="27" t="s">
        <v>1050</v>
      </c>
      <c r="C26" s="122" t="s">
        <v>991</v>
      </c>
      <c r="D26" s="16" t="s">
        <v>1051</v>
      </c>
      <c r="E26" s="90" t="s">
        <v>1052</v>
      </c>
      <c r="F26" s="90" t="s">
        <v>42</v>
      </c>
      <c r="G26" s="16" t="s">
        <v>979</v>
      </c>
      <c r="H26" s="40" t="s">
        <v>1053</v>
      </c>
      <c r="I26" s="41" t="s">
        <v>975</v>
      </c>
      <c r="J26" s="90" t="s">
        <v>1054</v>
      </c>
    </row>
    <row r="27" customFormat="false" ht="15" hidden="false" customHeight="true" outlineLevel="0" collapsed="false">
      <c r="A27" s="40" t="n">
        <v>23</v>
      </c>
      <c r="B27" s="27" t="s">
        <v>1055</v>
      </c>
      <c r="C27" s="12" t="s">
        <v>983</v>
      </c>
      <c r="D27" s="16" t="s">
        <v>1051</v>
      </c>
      <c r="E27" s="90" t="s">
        <v>1052</v>
      </c>
      <c r="F27" s="90" t="s">
        <v>42</v>
      </c>
      <c r="G27" s="16" t="s">
        <v>1021</v>
      </c>
      <c r="H27" s="40" t="s">
        <v>1056</v>
      </c>
      <c r="I27" s="41" t="s">
        <v>975</v>
      </c>
      <c r="J27" s="90"/>
    </row>
    <row r="28" customFormat="false" ht="15" hidden="false" customHeight="true" outlineLevel="0" collapsed="false">
      <c r="A28" s="40" t="n">
        <v>24</v>
      </c>
      <c r="B28" s="27" t="s">
        <v>1057</v>
      </c>
      <c r="C28" s="12" t="s">
        <v>983</v>
      </c>
      <c r="D28" s="16" t="s">
        <v>1051</v>
      </c>
      <c r="E28" s="90" t="s">
        <v>1058</v>
      </c>
      <c r="F28" s="90" t="s">
        <v>42</v>
      </c>
      <c r="G28" s="16" t="s">
        <v>1021</v>
      </c>
      <c r="H28" s="40" t="s">
        <v>1059</v>
      </c>
      <c r="I28" s="41" t="s">
        <v>975</v>
      </c>
      <c r="J28" s="90"/>
    </row>
    <row r="29" customFormat="false" ht="15" hidden="false" customHeight="true" outlineLevel="0" collapsed="false">
      <c r="A29" s="40" t="n">
        <v>25</v>
      </c>
      <c r="B29" s="27" t="s">
        <v>1060</v>
      </c>
      <c r="C29" s="12" t="s">
        <v>983</v>
      </c>
      <c r="D29" s="16" t="s">
        <v>1051</v>
      </c>
      <c r="E29" s="90" t="s">
        <v>1002</v>
      </c>
      <c r="F29" s="90" t="s">
        <v>42</v>
      </c>
      <c r="G29" s="16" t="s">
        <v>1021</v>
      </c>
      <c r="H29" s="40" t="s">
        <v>1061</v>
      </c>
      <c r="I29" s="41" t="s">
        <v>975</v>
      </c>
      <c r="J29" s="90"/>
    </row>
    <row r="30" customFormat="false" ht="15" hidden="false" customHeight="true" outlineLevel="0" collapsed="false">
      <c r="A30" s="40" t="n">
        <v>26</v>
      </c>
      <c r="B30" s="27" t="s">
        <v>1062</v>
      </c>
      <c r="C30" s="12" t="s">
        <v>983</v>
      </c>
      <c r="D30" s="16" t="s">
        <v>1051</v>
      </c>
      <c r="E30" s="90" t="s">
        <v>1002</v>
      </c>
      <c r="F30" s="90" t="s">
        <v>42</v>
      </c>
      <c r="G30" s="16" t="s">
        <v>979</v>
      </c>
      <c r="H30" s="40" t="s">
        <v>1063</v>
      </c>
      <c r="I30" s="41" t="s">
        <v>975</v>
      </c>
      <c r="J30" s="90"/>
    </row>
    <row r="31" customFormat="false" ht="15" hidden="false" customHeight="true" outlineLevel="0" collapsed="false">
      <c r="A31" s="40" t="n">
        <v>27</v>
      </c>
      <c r="B31" s="27" t="s">
        <v>1064</v>
      </c>
      <c r="C31" s="12" t="s">
        <v>983</v>
      </c>
      <c r="D31" s="16" t="s">
        <v>1051</v>
      </c>
      <c r="E31" s="90" t="s">
        <v>1065</v>
      </c>
      <c r="F31" s="90" t="s">
        <v>42</v>
      </c>
      <c r="G31" s="16" t="s">
        <v>1021</v>
      </c>
      <c r="H31" s="40" t="s">
        <v>1066</v>
      </c>
      <c r="I31" s="41" t="s">
        <v>975</v>
      </c>
      <c r="J31" s="90"/>
    </row>
    <row r="32" customFormat="false" ht="15" hidden="false" customHeight="true" outlineLevel="0" collapsed="false">
      <c r="A32" s="40" t="n">
        <v>28</v>
      </c>
      <c r="B32" s="27" t="s">
        <v>1067</v>
      </c>
      <c r="C32" s="12" t="s">
        <v>983</v>
      </c>
      <c r="D32" s="16" t="s">
        <v>1051</v>
      </c>
      <c r="E32" s="90" t="s">
        <v>1068</v>
      </c>
      <c r="F32" s="90" t="s">
        <v>42</v>
      </c>
      <c r="G32" s="16" t="s">
        <v>1021</v>
      </c>
      <c r="H32" s="40" t="s">
        <v>1069</v>
      </c>
      <c r="I32" s="41" t="s">
        <v>975</v>
      </c>
      <c r="J32" s="90"/>
    </row>
    <row r="33" customFormat="false" ht="15" hidden="false" customHeight="true" outlineLevel="0" collapsed="false">
      <c r="A33" s="40" t="n">
        <v>29</v>
      </c>
      <c r="B33" s="17" t="s">
        <v>1070</v>
      </c>
      <c r="C33" s="12" t="s">
        <v>983</v>
      </c>
      <c r="D33" s="19" t="s">
        <v>192</v>
      </c>
      <c r="E33" s="123" t="s">
        <v>1071</v>
      </c>
      <c r="F33" s="123" t="s">
        <v>1072</v>
      </c>
      <c r="G33" s="19" t="s">
        <v>973</v>
      </c>
      <c r="H33" s="40" t="s">
        <v>1073</v>
      </c>
      <c r="I33" s="41" t="s">
        <v>975</v>
      </c>
      <c r="J33" s="123" t="s">
        <v>1074</v>
      </c>
    </row>
    <row r="34" customFormat="false" ht="15" hidden="false" customHeight="true" outlineLevel="0" collapsed="false">
      <c r="A34" s="40" t="n">
        <v>30</v>
      </c>
      <c r="B34" s="17" t="s">
        <v>1075</v>
      </c>
      <c r="C34" s="15" t="s">
        <v>978</v>
      </c>
      <c r="D34" s="19" t="s">
        <v>192</v>
      </c>
      <c r="E34" s="123" t="s">
        <v>1071</v>
      </c>
      <c r="F34" s="123" t="s">
        <v>42</v>
      </c>
      <c r="G34" s="19" t="s">
        <v>979</v>
      </c>
      <c r="H34" s="40" t="s">
        <v>1076</v>
      </c>
      <c r="I34" s="41" t="s">
        <v>975</v>
      </c>
      <c r="J34" s="123" t="s">
        <v>1077</v>
      </c>
    </row>
    <row r="35" customFormat="false" ht="15" hidden="false" customHeight="true" outlineLevel="0" collapsed="false">
      <c r="A35" s="40" t="n">
        <v>31</v>
      </c>
      <c r="B35" s="17" t="s">
        <v>1078</v>
      </c>
      <c r="C35" s="15" t="s">
        <v>970</v>
      </c>
      <c r="D35" s="19" t="s">
        <v>192</v>
      </c>
      <c r="E35" s="123" t="s">
        <v>1071</v>
      </c>
      <c r="F35" s="123" t="s">
        <v>42</v>
      </c>
      <c r="G35" s="19" t="s">
        <v>979</v>
      </c>
      <c r="H35" s="40" t="s">
        <v>1079</v>
      </c>
      <c r="I35" s="41" t="s">
        <v>975</v>
      </c>
      <c r="J35" s="123"/>
    </row>
    <row r="36" customFormat="false" ht="15" hidden="false" customHeight="true" outlineLevel="0" collapsed="false">
      <c r="A36" s="40" t="n">
        <v>32</v>
      </c>
      <c r="B36" s="17" t="s">
        <v>1080</v>
      </c>
      <c r="C36" s="122" t="s">
        <v>996</v>
      </c>
      <c r="D36" s="19" t="s">
        <v>192</v>
      </c>
      <c r="E36" s="123" t="s">
        <v>1071</v>
      </c>
      <c r="F36" s="123" t="s">
        <v>42</v>
      </c>
      <c r="G36" s="19" t="s">
        <v>979</v>
      </c>
      <c r="H36" s="40" t="s">
        <v>1081</v>
      </c>
      <c r="I36" s="41" t="s">
        <v>975</v>
      </c>
      <c r="J36" s="123" t="s">
        <v>1082</v>
      </c>
    </row>
    <row r="37" customFormat="false" ht="15" hidden="false" customHeight="true" outlineLevel="0" collapsed="false">
      <c r="A37" s="40" t="n">
        <v>33</v>
      </c>
      <c r="B37" s="17" t="s">
        <v>275</v>
      </c>
      <c r="C37" s="12" t="s">
        <v>983</v>
      </c>
      <c r="D37" s="19" t="s">
        <v>192</v>
      </c>
      <c r="E37" s="123" t="s">
        <v>1083</v>
      </c>
      <c r="F37" s="123" t="s">
        <v>1084</v>
      </c>
      <c r="G37" s="19" t="s">
        <v>973</v>
      </c>
      <c r="H37" s="40" t="s">
        <v>1085</v>
      </c>
      <c r="I37" s="41" t="s">
        <v>975</v>
      </c>
      <c r="J37" s="123" t="s">
        <v>1086</v>
      </c>
    </row>
    <row r="38" customFormat="false" ht="15" hidden="false" customHeight="true" outlineLevel="0" collapsed="false">
      <c r="A38" s="40" t="n">
        <v>34</v>
      </c>
      <c r="B38" s="17" t="s">
        <v>1087</v>
      </c>
      <c r="C38" s="12" t="s">
        <v>983</v>
      </c>
      <c r="D38" s="19" t="s">
        <v>192</v>
      </c>
      <c r="E38" s="123" t="s">
        <v>1068</v>
      </c>
      <c r="F38" s="123" t="s">
        <v>1088</v>
      </c>
      <c r="G38" s="19" t="s">
        <v>973</v>
      </c>
      <c r="H38" s="40" t="s">
        <v>1089</v>
      </c>
      <c r="I38" s="41" t="s">
        <v>975</v>
      </c>
      <c r="J38" s="123"/>
    </row>
    <row r="39" customFormat="false" ht="15" hidden="false" customHeight="true" outlineLevel="0" collapsed="false">
      <c r="A39" s="40" t="n">
        <v>35</v>
      </c>
      <c r="B39" s="17" t="s">
        <v>1090</v>
      </c>
      <c r="C39" s="12" t="s">
        <v>983</v>
      </c>
      <c r="D39" s="19" t="s">
        <v>192</v>
      </c>
      <c r="E39" s="123" t="s">
        <v>1091</v>
      </c>
      <c r="F39" s="123" t="s">
        <v>42</v>
      </c>
      <c r="G39" s="19" t="s">
        <v>1021</v>
      </c>
      <c r="H39" s="40" t="s">
        <v>1092</v>
      </c>
      <c r="I39" s="41" t="s">
        <v>975</v>
      </c>
      <c r="J39" s="123"/>
    </row>
    <row r="40" customFormat="false" ht="15" hidden="false" customHeight="true" outlineLevel="0" collapsed="false">
      <c r="A40" s="40" t="n">
        <v>36</v>
      </c>
      <c r="B40" s="108" t="s">
        <v>1093</v>
      </c>
      <c r="C40" s="15" t="s">
        <v>970</v>
      </c>
      <c r="D40" s="40" t="s">
        <v>1094</v>
      </c>
      <c r="E40" s="5" t="s">
        <v>1095</v>
      </c>
      <c r="F40" s="5" t="s">
        <v>42</v>
      </c>
      <c r="G40" s="40" t="s">
        <v>979</v>
      </c>
      <c r="H40" s="40" t="s">
        <v>1096</v>
      </c>
      <c r="I40" s="41" t="s">
        <v>975</v>
      </c>
      <c r="J40" s="5" t="s">
        <v>1097</v>
      </c>
    </row>
    <row r="41" customFormat="false" ht="15" hidden="false" customHeight="true" outlineLevel="0" collapsed="false">
      <c r="A41" s="40" t="n">
        <v>37</v>
      </c>
      <c r="B41" s="108" t="s">
        <v>1098</v>
      </c>
      <c r="C41" s="15" t="s">
        <v>970</v>
      </c>
      <c r="D41" s="40" t="s">
        <v>1094</v>
      </c>
      <c r="E41" s="5" t="s">
        <v>1095</v>
      </c>
      <c r="F41" s="5" t="s">
        <v>42</v>
      </c>
      <c r="G41" s="40" t="s">
        <v>979</v>
      </c>
      <c r="H41" s="40" t="s">
        <v>1099</v>
      </c>
      <c r="I41" s="41" t="s">
        <v>975</v>
      </c>
      <c r="J41" s="5"/>
    </row>
    <row r="42" customFormat="false" ht="15" hidden="false" customHeight="true" outlineLevel="0" collapsed="false">
      <c r="A42" s="40" t="n">
        <v>38</v>
      </c>
      <c r="B42" s="108" t="s">
        <v>1100</v>
      </c>
      <c r="C42" s="12" t="s">
        <v>983</v>
      </c>
      <c r="D42" s="40" t="s">
        <v>1094</v>
      </c>
      <c r="E42" s="5" t="s">
        <v>1101</v>
      </c>
      <c r="F42" s="5" t="s">
        <v>42</v>
      </c>
      <c r="G42" s="40" t="s">
        <v>1021</v>
      </c>
      <c r="H42" s="40" t="s">
        <v>1102</v>
      </c>
      <c r="I42" s="41" t="s">
        <v>975</v>
      </c>
      <c r="J42" s="5"/>
    </row>
    <row r="43" customFormat="false" ht="15" hidden="false" customHeight="true" outlineLevel="0" collapsed="false">
      <c r="A43" s="40" t="n">
        <v>39</v>
      </c>
      <c r="B43" s="108" t="s">
        <v>1103</v>
      </c>
      <c r="C43" s="12" t="s">
        <v>983</v>
      </c>
      <c r="D43" s="40" t="s">
        <v>1094</v>
      </c>
      <c r="E43" s="5" t="s">
        <v>1101</v>
      </c>
      <c r="F43" s="5" t="s">
        <v>42</v>
      </c>
      <c r="G43" s="40" t="s">
        <v>1021</v>
      </c>
      <c r="H43" s="40" t="s">
        <v>1102</v>
      </c>
      <c r="I43" s="41" t="s">
        <v>975</v>
      </c>
      <c r="J43" s="5"/>
    </row>
    <row r="44" customFormat="false" ht="15" hidden="false" customHeight="true" outlineLevel="0" collapsed="false">
      <c r="A44" s="40" t="n">
        <v>40</v>
      </c>
      <c r="B44" s="124" t="s">
        <v>1104</v>
      </c>
      <c r="C44" s="12" t="s">
        <v>983</v>
      </c>
      <c r="D44" s="125" t="s">
        <v>1105</v>
      </c>
      <c r="E44" s="126" t="s">
        <v>1106</v>
      </c>
      <c r="F44" s="126" t="s">
        <v>1107</v>
      </c>
      <c r="G44" s="125" t="s">
        <v>973</v>
      </c>
      <c r="H44" s="40" t="s">
        <v>1108</v>
      </c>
      <c r="I44" s="41" t="s">
        <v>975</v>
      </c>
      <c r="J44" s="126" t="s">
        <v>1109</v>
      </c>
    </row>
    <row r="45" customFormat="false" ht="15" hidden="false" customHeight="true" outlineLevel="0" collapsed="false">
      <c r="A45" s="40" t="n">
        <v>41</v>
      </c>
      <c r="B45" s="124" t="s">
        <v>1110</v>
      </c>
      <c r="C45" s="15" t="s">
        <v>978</v>
      </c>
      <c r="D45" s="125" t="s">
        <v>1105</v>
      </c>
      <c r="E45" s="126" t="s">
        <v>1111</v>
      </c>
      <c r="F45" s="126" t="s">
        <v>42</v>
      </c>
      <c r="G45" s="125" t="s">
        <v>979</v>
      </c>
      <c r="H45" s="40" t="s">
        <v>1112</v>
      </c>
      <c r="I45" s="41" t="s">
        <v>975</v>
      </c>
      <c r="J45" s="126" t="s">
        <v>1113</v>
      </c>
    </row>
    <row r="46" customFormat="false" ht="15" hidden="false" customHeight="true" outlineLevel="0" collapsed="false">
      <c r="A46" s="40" t="n">
        <v>42</v>
      </c>
      <c r="B46" s="124" t="s">
        <v>1114</v>
      </c>
      <c r="C46" s="12" t="s">
        <v>983</v>
      </c>
      <c r="D46" s="125" t="s">
        <v>1105</v>
      </c>
      <c r="E46" s="126" t="s">
        <v>1115</v>
      </c>
      <c r="F46" s="126" t="s">
        <v>42</v>
      </c>
      <c r="G46" s="125" t="s">
        <v>1021</v>
      </c>
      <c r="H46" s="40" t="s">
        <v>1116</v>
      </c>
      <c r="I46" s="41" t="s">
        <v>975</v>
      </c>
      <c r="J46" s="126"/>
    </row>
    <row r="47" customFormat="false" ht="15" hidden="false" customHeight="true" outlineLevel="0" collapsed="false">
      <c r="A47" s="40" t="n">
        <v>43</v>
      </c>
      <c r="B47" s="124" t="s">
        <v>1117</v>
      </c>
      <c r="C47" s="12" t="s">
        <v>983</v>
      </c>
      <c r="D47" s="125" t="s">
        <v>1105</v>
      </c>
      <c r="E47" s="126" t="s">
        <v>1118</v>
      </c>
      <c r="F47" s="126" t="s">
        <v>42</v>
      </c>
      <c r="G47" s="125" t="s">
        <v>1021</v>
      </c>
      <c r="H47" s="40" t="s">
        <v>1119</v>
      </c>
      <c r="I47" s="41" t="s">
        <v>975</v>
      </c>
      <c r="J47" s="126" t="s">
        <v>1120</v>
      </c>
    </row>
    <row r="48" customFormat="false" ht="15" hidden="false" customHeight="true" outlineLevel="0" collapsed="false">
      <c r="A48" s="40" t="n">
        <v>44</v>
      </c>
      <c r="B48" s="124" t="s">
        <v>1121</v>
      </c>
      <c r="C48" s="15" t="s">
        <v>970</v>
      </c>
      <c r="D48" s="125" t="s">
        <v>1105</v>
      </c>
      <c r="E48" s="126" t="s">
        <v>1111</v>
      </c>
      <c r="F48" s="126" t="s">
        <v>1122</v>
      </c>
      <c r="G48" s="125" t="s">
        <v>1123</v>
      </c>
      <c r="H48" s="40" t="s">
        <v>1124</v>
      </c>
      <c r="I48" s="41" t="s">
        <v>975</v>
      </c>
      <c r="J48" s="126" t="s">
        <v>1125</v>
      </c>
    </row>
    <row r="49" customFormat="false" ht="15" hidden="false" customHeight="true" outlineLevel="0" collapsed="false">
      <c r="A49" s="40" t="n">
        <v>45</v>
      </c>
      <c r="B49" s="124" t="s">
        <v>1126</v>
      </c>
      <c r="C49" s="12" t="s">
        <v>983</v>
      </c>
      <c r="D49" s="125" t="s">
        <v>1105</v>
      </c>
      <c r="E49" s="126" t="s">
        <v>1127</v>
      </c>
      <c r="F49" s="126" t="s">
        <v>42</v>
      </c>
      <c r="G49" s="125" t="s">
        <v>1021</v>
      </c>
      <c r="H49" s="40" t="s">
        <v>1128</v>
      </c>
      <c r="I49" s="41" t="s">
        <v>975</v>
      </c>
      <c r="J49" s="126"/>
    </row>
    <row r="50" customFormat="false" ht="15" hidden="false" customHeight="true" outlineLevel="0" collapsed="false">
      <c r="A50" s="40" t="n">
        <v>46</v>
      </c>
      <c r="B50" s="124" t="s">
        <v>1129</v>
      </c>
      <c r="C50" s="12" t="s">
        <v>983</v>
      </c>
      <c r="D50" s="125" t="s">
        <v>1105</v>
      </c>
      <c r="E50" s="126" t="s">
        <v>1091</v>
      </c>
      <c r="F50" s="126" t="s">
        <v>1130</v>
      </c>
      <c r="G50" s="125" t="s">
        <v>973</v>
      </c>
      <c r="H50" s="40" t="s">
        <v>1131</v>
      </c>
      <c r="I50" s="41" t="s">
        <v>975</v>
      </c>
      <c r="J50" s="126" t="s">
        <v>1036</v>
      </c>
    </row>
    <row r="51" customFormat="false" ht="15" hidden="false" customHeight="true" outlineLevel="0" collapsed="false">
      <c r="A51" s="40" t="n">
        <v>47</v>
      </c>
      <c r="B51" s="124" t="s">
        <v>1132</v>
      </c>
      <c r="C51" s="12" t="s">
        <v>983</v>
      </c>
      <c r="D51" s="125" t="s">
        <v>1105</v>
      </c>
      <c r="E51" s="126" t="s">
        <v>1111</v>
      </c>
      <c r="F51" s="126" t="s">
        <v>1133</v>
      </c>
      <c r="G51" s="125" t="s">
        <v>973</v>
      </c>
      <c r="H51" s="40" t="s">
        <v>1134</v>
      </c>
      <c r="I51" s="41" t="s">
        <v>975</v>
      </c>
      <c r="J51" s="126" t="s">
        <v>1036</v>
      </c>
    </row>
    <row r="52" customFormat="false" ht="15" hidden="false" customHeight="true" outlineLevel="0" collapsed="false">
      <c r="A52" s="40" t="n">
        <v>48</v>
      </c>
      <c r="B52" s="124" t="s">
        <v>1135</v>
      </c>
      <c r="C52" s="12" t="s">
        <v>983</v>
      </c>
      <c r="D52" s="125" t="s">
        <v>1105</v>
      </c>
      <c r="E52" s="126" t="s">
        <v>1111</v>
      </c>
      <c r="F52" s="126" t="s">
        <v>1136</v>
      </c>
      <c r="G52" s="125" t="s">
        <v>973</v>
      </c>
      <c r="H52" s="40" t="s">
        <v>1137</v>
      </c>
      <c r="I52" s="41" t="s">
        <v>975</v>
      </c>
      <c r="J52" s="126" t="s">
        <v>1138</v>
      </c>
    </row>
    <row r="53" customFormat="false" ht="15" hidden="false" customHeight="true" outlineLevel="0" collapsed="false">
      <c r="A53" s="40" t="n">
        <v>49</v>
      </c>
      <c r="B53" s="124" t="s">
        <v>1139</v>
      </c>
      <c r="C53" s="12" t="s">
        <v>983</v>
      </c>
      <c r="D53" s="125" t="s">
        <v>1105</v>
      </c>
      <c r="E53" s="126" t="s">
        <v>1111</v>
      </c>
      <c r="F53" s="126" t="s">
        <v>1140</v>
      </c>
      <c r="G53" s="125" t="s">
        <v>973</v>
      </c>
      <c r="H53" s="40" t="s">
        <v>1141</v>
      </c>
      <c r="I53" s="41" t="s">
        <v>975</v>
      </c>
      <c r="J53" s="126" t="s">
        <v>1142</v>
      </c>
    </row>
    <row r="54" customFormat="false" ht="15" hidden="false" customHeight="true" outlineLevel="0" collapsed="false">
      <c r="A54" s="40" t="n">
        <v>50</v>
      </c>
      <c r="B54" s="124" t="s">
        <v>1143</v>
      </c>
      <c r="C54" s="12" t="s">
        <v>983</v>
      </c>
      <c r="D54" s="125" t="s">
        <v>1105</v>
      </c>
      <c r="E54" s="126" t="s">
        <v>1127</v>
      </c>
      <c r="F54" s="126" t="s">
        <v>1144</v>
      </c>
      <c r="G54" s="125" t="s">
        <v>973</v>
      </c>
      <c r="H54" s="40" t="s">
        <v>1145</v>
      </c>
      <c r="I54" s="41" t="s">
        <v>975</v>
      </c>
      <c r="J54" s="126" t="s">
        <v>1142</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3" min="2" style="1" width="28"/>
    <col collapsed="false" customWidth="true" hidden="false" outlineLevel="0" max="4" min="4" style="1" width="10"/>
    <col collapsed="false" customWidth="true" hidden="false" outlineLevel="0" max="5" min="5" style="1" width="12"/>
    <col collapsed="false" customWidth="true" hidden="false" outlineLevel="0" max="6" min="6" style="1" width="10"/>
    <col collapsed="false" customWidth="true" hidden="false" outlineLevel="0" max="8" min="7" style="1" width="12"/>
    <col collapsed="false" customWidth="true" hidden="false" outlineLevel="0" max="9" min="9" style="1" width="14"/>
    <col collapsed="false" customWidth="true" hidden="false" outlineLevel="0" max="10" min="10" style="1" width="24"/>
    <col collapsed="false" customWidth="true" hidden="false" outlineLevel="0" max="11" min="11" style="1" width="36"/>
  </cols>
  <sheetData>
    <row r="1" customFormat="false" ht="27.75" hidden="false" customHeight="true" outlineLevel="0" collapsed="false">
      <c r="A1" s="8" t="s">
        <v>1146</v>
      </c>
      <c r="B1" s="8"/>
      <c r="C1" s="8"/>
      <c r="D1" s="8"/>
      <c r="E1" s="8"/>
      <c r="F1" s="8"/>
      <c r="G1" s="8"/>
      <c r="H1" s="8"/>
      <c r="I1" s="8"/>
      <c r="J1" s="8"/>
      <c r="K1" s="8"/>
    </row>
    <row r="2" customFormat="false" ht="36" hidden="false" customHeight="true" outlineLevel="0" collapsed="false">
      <c r="A2" s="121" t="s">
        <v>1147</v>
      </c>
      <c r="B2" s="121"/>
      <c r="C2" s="121"/>
      <c r="D2" s="121"/>
      <c r="E2" s="121"/>
      <c r="F2" s="121"/>
      <c r="G2" s="121"/>
      <c r="H2" s="121"/>
      <c r="I2" s="121"/>
      <c r="J2" s="121"/>
      <c r="K2" s="121"/>
    </row>
    <row r="3" customFormat="false" ht="21.75" hidden="false" customHeight="true" outlineLevel="0" collapsed="false">
      <c r="A3" s="78" t="s">
        <v>1148</v>
      </c>
      <c r="B3" s="78"/>
      <c r="C3" s="78"/>
      <c r="D3" s="78"/>
      <c r="E3" s="78"/>
      <c r="F3" s="78"/>
      <c r="G3" s="78"/>
      <c r="H3" s="78"/>
      <c r="I3" s="78"/>
      <c r="J3" s="78"/>
      <c r="K3" s="78"/>
    </row>
    <row r="4" customFormat="false" ht="42" hidden="false" customHeight="true" outlineLevel="0" collapsed="false">
      <c r="A4" s="3" t="s">
        <v>132</v>
      </c>
      <c r="B4" s="3" t="s">
        <v>1149</v>
      </c>
      <c r="C4" s="3" t="s">
        <v>1150</v>
      </c>
      <c r="D4" s="3" t="s">
        <v>1151</v>
      </c>
      <c r="E4" s="3" t="s">
        <v>1152</v>
      </c>
      <c r="F4" s="3" t="s">
        <v>1153</v>
      </c>
      <c r="G4" s="3" t="s">
        <v>1154</v>
      </c>
      <c r="H4" s="3" t="s">
        <v>1155</v>
      </c>
      <c r="I4" s="3" t="s">
        <v>1156</v>
      </c>
      <c r="J4" s="3" t="s">
        <v>1157</v>
      </c>
      <c r="K4" s="3" t="s">
        <v>140</v>
      </c>
    </row>
    <row r="5" customFormat="false" ht="15" hidden="false" customHeight="true" outlineLevel="0" collapsed="false">
      <c r="A5" s="40" t="n">
        <v>1</v>
      </c>
      <c r="B5" s="127" t="s">
        <v>1050</v>
      </c>
      <c r="C5" s="127" t="s">
        <v>1080</v>
      </c>
      <c r="D5" s="128" t="n">
        <v>765</v>
      </c>
      <c r="E5" s="129" t="n">
        <v>220</v>
      </c>
      <c r="F5" s="122" t="n">
        <v>1</v>
      </c>
      <c r="G5" s="119" t="s">
        <v>1158</v>
      </c>
      <c r="H5" s="119" t="s">
        <v>1158</v>
      </c>
      <c r="I5" s="119" t="s">
        <v>1158</v>
      </c>
      <c r="J5" s="130" t="s">
        <v>1159</v>
      </c>
      <c r="K5" s="131" t="s">
        <v>1160</v>
      </c>
    </row>
    <row r="6" customFormat="false" ht="15" hidden="false" customHeight="true" outlineLevel="0" collapsed="false">
      <c r="A6" s="40" t="n">
        <v>2</v>
      </c>
      <c r="B6" s="127" t="s">
        <v>1050</v>
      </c>
      <c r="C6" s="127" t="s">
        <v>1055</v>
      </c>
      <c r="D6" s="128" t="n">
        <v>765</v>
      </c>
      <c r="E6" s="129" t="n">
        <v>80</v>
      </c>
      <c r="F6" s="122" t="n">
        <v>1</v>
      </c>
      <c r="G6" s="119" t="s">
        <v>1158</v>
      </c>
      <c r="H6" s="119" t="s">
        <v>1158</v>
      </c>
      <c r="I6" s="119" t="s">
        <v>1158</v>
      </c>
      <c r="J6" s="130" t="s">
        <v>1051</v>
      </c>
      <c r="K6" s="131" t="s">
        <v>1161</v>
      </c>
    </row>
    <row r="7" customFormat="false" ht="15" hidden="false" customHeight="true" outlineLevel="0" collapsed="false">
      <c r="A7" s="40" t="n">
        <v>3</v>
      </c>
      <c r="B7" s="127" t="s">
        <v>990</v>
      </c>
      <c r="C7" s="127" t="s">
        <v>1009</v>
      </c>
      <c r="D7" s="128" t="n">
        <v>765</v>
      </c>
      <c r="E7" s="129" t="n">
        <v>120</v>
      </c>
      <c r="F7" s="122" t="n">
        <v>2</v>
      </c>
      <c r="G7" s="119" t="s">
        <v>1158</v>
      </c>
      <c r="H7" s="119" t="s">
        <v>1158</v>
      </c>
      <c r="I7" s="119" t="s">
        <v>1158</v>
      </c>
      <c r="J7" s="130" t="s">
        <v>1162</v>
      </c>
      <c r="K7" s="131" t="s">
        <v>1163</v>
      </c>
    </row>
    <row r="8" customFormat="false" ht="15" hidden="false" customHeight="true" outlineLevel="0" collapsed="false">
      <c r="A8" s="40" t="n">
        <v>4</v>
      </c>
      <c r="B8" s="127" t="s">
        <v>995</v>
      </c>
      <c r="C8" s="127" t="s">
        <v>1164</v>
      </c>
      <c r="D8" s="128" t="n">
        <v>765</v>
      </c>
      <c r="E8" s="129" t="n">
        <v>250</v>
      </c>
      <c r="F8" s="122" t="n">
        <v>2</v>
      </c>
      <c r="G8" s="119" t="s">
        <v>1158</v>
      </c>
      <c r="H8" s="119" t="s">
        <v>1158</v>
      </c>
      <c r="I8" s="119" t="s">
        <v>1158</v>
      </c>
      <c r="J8" s="130" t="s">
        <v>1165</v>
      </c>
      <c r="K8" s="131" t="s">
        <v>1166</v>
      </c>
    </row>
    <row r="9" customFormat="false" ht="15" hidden="false" customHeight="true" outlineLevel="0" collapsed="false">
      <c r="A9" s="40" t="n">
        <v>5</v>
      </c>
      <c r="B9" s="127" t="s">
        <v>1080</v>
      </c>
      <c r="C9" s="127" t="s">
        <v>1167</v>
      </c>
      <c r="D9" s="128" t="n">
        <v>765</v>
      </c>
      <c r="E9" s="129" t="n">
        <v>120</v>
      </c>
      <c r="F9" s="122" t="n">
        <v>1</v>
      </c>
      <c r="G9" s="119" t="s">
        <v>1158</v>
      </c>
      <c r="H9" s="119" t="s">
        <v>1158</v>
      </c>
      <c r="I9" s="119" t="s">
        <v>1158</v>
      </c>
      <c r="J9" s="130" t="s">
        <v>1168</v>
      </c>
      <c r="K9" s="131" t="s">
        <v>1169</v>
      </c>
    </row>
    <row r="10" customFormat="false" ht="15" hidden="false" customHeight="true" outlineLevel="0" collapsed="false">
      <c r="A10" s="40" t="n">
        <v>6</v>
      </c>
      <c r="B10" s="124" t="s">
        <v>1170</v>
      </c>
      <c r="C10" s="124" t="s">
        <v>1171</v>
      </c>
      <c r="D10" s="132" t="n">
        <v>500</v>
      </c>
      <c r="E10" s="133" t="n">
        <v>900</v>
      </c>
      <c r="F10" s="125" t="n">
        <v>1</v>
      </c>
      <c r="G10" s="119" t="s">
        <v>1158</v>
      </c>
      <c r="H10" s="119" t="s">
        <v>1158</v>
      </c>
      <c r="I10" s="116" t="s">
        <v>1172</v>
      </c>
      <c r="J10" s="126" t="s">
        <v>1173</v>
      </c>
      <c r="K10" s="134" t="s">
        <v>1174</v>
      </c>
    </row>
    <row r="11" customFormat="false" ht="15" hidden="false" customHeight="true" outlineLevel="0" collapsed="false">
      <c r="A11" s="40" t="n">
        <v>7</v>
      </c>
      <c r="B11" s="11" t="s">
        <v>977</v>
      </c>
      <c r="C11" s="11" t="s">
        <v>1006</v>
      </c>
      <c r="D11" s="135" t="n">
        <v>400</v>
      </c>
      <c r="E11" s="66" t="n">
        <v>80</v>
      </c>
      <c r="F11" s="15" t="n">
        <v>2</v>
      </c>
      <c r="G11" s="119" t="s">
        <v>1158</v>
      </c>
      <c r="H11" s="119" t="s">
        <v>1158</v>
      </c>
      <c r="I11" s="119" t="s">
        <v>1158</v>
      </c>
      <c r="J11" s="86" t="s">
        <v>971</v>
      </c>
      <c r="K11" s="136" t="s">
        <v>1175</v>
      </c>
    </row>
    <row r="12" customFormat="false" ht="15" hidden="false" customHeight="true" outlineLevel="0" collapsed="false">
      <c r="A12" s="40" t="n">
        <v>8</v>
      </c>
      <c r="B12" s="11" t="s">
        <v>977</v>
      </c>
      <c r="C12" s="11" t="s">
        <v>1009</v>
      </c>
      <c r="D12" s="135" t="n">
        <v>400</v>
      </c>
      <c r="E12" s="66" t="n">
        <v>60</v>
      </c>
      <c r="F12" s="15" t="n">
        <v>2</v>
      </c>
      <c r="G12" s="119" t="s">
        <v>1158</v>
      </c>
      <c r="H12" s="119" t="s">
        <v>1158</v>
      </c>
      <c r="I12" s="119" t="s">
        <v>1158</v>
      </c>
      <c r="J12" s="86" t="s">
        <v>971</v>
      </c>
      <c r="K12" s="136"/>
    </row>
    <row r="13" customFormat="false" ht="15" hidden="false" customHeight="true" outlineLevel="0" collapsed="false">
      <c r="A13" s="40" t="n">
        <v>9</v>
      </c>
      <c r="B13" s="11" t="s">
        <v>1176</v>
      </c>
      <c r="C13" s="11" t="s">
        <v>977</v>
      </c>
      <c r="D13" s="135" t="n">
        <v>400</v>
      </c>
      <c r="E13" s="66" t="n">
        <v>50</v>
      </c>
      <c r="F13" s="15" t="n">
        <v>2</v>
      </c>
      <c r="G13" s="119" t="s">
        <v>1158</v>
      </c>
      <c r="H13" s="119" t="s">
        <v>1158</v>
      </c>
      <c r="I13" s="119" t="s">
        <v>1158</v>
      </c>
      <c r="J13" s="86" t="s">
        <v>971</v>
      </c>
      <c r="K13" s="136" t="s">
        <v>1177</v>
      </c>
    </row>
    <row r="14" customFormat="false" ht="15" hidden="false" customHeight="true" outlineLevel="0" collapsed="false">
      <c r="A14" s="40" t="n">
        <v>10</v>
      </c>
      <c r="B14" s="11" t="s">
        <v>1006</v>
      </c>
      <c r="C14" s="11" t="s">
        <v>1047</v>
      </c>
      <c r="D14" s="135" t="n">
        <v>400</v>
      </c>
      <c r="E14" s="66" t="n">
        <v>90</v>
      </c>
      <c r="F14" s="15" t="n">
        <v>2</v>
      </c>
      <c r="G14" s="119" t="s">
        <v>1158</v>
      </c>
      <c r="H14" s="119" t="s">
        <v>1158</v>
      </c>
      <c r="I14" s="119" t="s">
        <v>1158</v>
      </c>
      <c r="J14" s="86" t="s">
        <v>1178</v>
      </c>
      <c r="K14" s="136" t="s">
        <v>1179</v>
      </c>
    </row>
    <row r="15" customFormat="false" ht="15" hidden="false" customHeight="true" outlineLevel="0" collapsed="false">
      <c r="A15" s="40" t="n">
        <v>11</v>
      </c>
      <c r="B15" s="11" t="s">
        <v>1047</v>
      </c>
      <c r="C15" s="11" t="s">
        <v>1180</v>
      </c>
      <c r="D15" s="135" t="n">
        <v>400</v>
      </c>
      <c r="E15" s="66" t="n">
        <v>70</v>
      </c>
      <c r="F15" s="15" t="n">
        <v>2</v>
      </c>
      <c r="G15" s="119" t="s">
        <v>1158</v>
      </c>
      <c r="H15" s="119" t="s">
        <v>1158</v>
      </c>
      <c r="I15" s="119" t="s">
        <v>1158</v>
      </c>
      <c r="J15" s="86" t="s">
        <v>1015</v>
      </c>
      <c r="K15" s="136"/>
    </row>
    <row r="16" customFormat="false" ht="15" hidden="false" customHeight="true" outlineLevel="0" collapsed="false">
      <c r="A16" s="40" t="n">
        <v>12</v>
      </c>
      <c r="B16" s="11" t="s">
        <v>1180</v>
      </c>
      <c r="C16" s="11" t="s">
        <v>1078</v>
      </c>
      <c r="D16" s="135" t="n">
        <v>400</v>
      </c>
      <c r="E16" s="66" t="n">
        <v>100</v>
      </c>
      <c r="F16" s="15" t="n">
        <v>2</v>
      </c>
      <c r="G16" s="119" t="s">
        <v>1158</v>
      </c>
      <c r="H16" s="119" t="s">
        <v>1158</v>
      </c>
      <c r="I16" s="119" t="s">
        <v>1158</v>
      </c>
      <c r="J16" s="86" t="s">
        <v>1181</v>
      </c>
      <c r="K16" s="136"/>
    </row>
    <row r="17" customFormat="false" ht="15" hidden="false" customHeight="true" outlineLevel="0" collapsed="false">
      <c r="A17" s="40" t="n">
        <v>13</v>
      </c>
      <c r="B17" s="11" t="s">
        <v>1024</v>
      </c>
      <c r="C17" s="11" t="s">
        <v>1019</v>
      </c>
      <c r="D17" s="135" t="n">
        <v>400</v>
      </c>
      <c r="E17" s="66" t="n">
        <v>35</v>
      </c>
      <c r="F17" s="15" t="n">
        <v>2</v>
      </c>
      <c r="G17" s="119" t="s">
        <v>1158</v>
      </c>
      <c r="H17" s="119" t="s">
        <v>1158</v>
      </c>
      <c r="I17" s="119" t="s">
        <v>1158</v>
      </c>
      <c r="J17" s="86" t="s">
        <v>1015</v>
      </c>
      <c r="K17" s="136"/>
    </row>
    <row r="18" customFormat="false" ht="15" hidden="false" customHeight="true" outlineLevel="0" collapsed="false">
      <c r="A18" s="40" t="n">
        <v>14</v>
      </c>
      <c r="B18" s="11" t="s">
        <v>1024</v>
      </c>
      <c r="C18" s="11" t="s">
        <v>1027</v>
      </c>
      <c r="D18" s="135" t="n">
        <v>400</v>
      </c>
      <c r="E18" s="66" t="n">
        <v>55</v>
      </c>
      <c r="F18" s="15" t="n">
        <v>1</v>
      </c>
      <c r="G18" s="119" t="s">
        <v>1158</v>
      </c>
      <c r="H18" s="119" t="s">
        <v>1158</v>
      </c>
      <c r="I18" s="119" t="s">
        <v>1158</v>
      </c>
      <c r="J18" s="86" t="s">
        <v>1015</v>
      </c>
      <c r="K18" s="136"/>
    </row>
    <row r="19" customFormat="false" ht="15" hidden="false" customHeight="true" outlineLevel="0" collapsed="false">
      <c r="A19" s="40" t="n">
        <v>15</v>
      </c>
      <c r="B19" s="11" t="s">
        <v>1024</v>
      </c>
      <c r="C19" s="11" t="s">
        <v>1037</v>
      </c>
      <c r="D19" s="135" t="n">
        <v>400</v>
      </c>
      <c r="E19" s="66" t="n">
        <v>80</v>
      </c>
      <c r="F19" s="15" t="n">
        <v>1</v>
      </c>
      <c r="G19" s="119" t="s">
        <v>1158</v>
      </c>
      <c r="H19" s="119" t="s">
        <v>1158</v>
      </c>
      <c r="I19" s="119" t="s">
        <v>1158</v>
      </c>
      <c r="J19" s="86" t="s">
        <v>1015</v>
      </c>
      <c r="K19" s="136"/>
    </row>
    <row r="20" customFormat="false" ht="15" hidden="false" customHeight="true" outlineLevel="0" collapsed="false">
      <c r="A20" s="40" t="n">
        <v>16</v>
      </c>
      <c r="B20" s="11" t="s">
        <v>1075</v>
      </c>
      <c r="C20" s="11" t="s">
        <v>1080</v>
      </c>
      <c r="D20" s="135" t="n">
        <v>400</v>
      </c>
      <c r="E20" s="66" t="n">
        <v>30</v>
      </c>
      <c r="F20" s="15" t="n">
        <v>2</v>
      </c>
      <c r="G20" s="119" t="s">
        <v>1158</v>
      </c>
      <c r="H20" s="119" t="s">
        <v>1158</v>
      </c>
      <c r="I20" s="119" t="s">
        <v>1158</v>
      </c>
      <c r="J20" s="86" t="s">
        <v>1168</v>
      </c>
      <c r="K20" s="136"/>
    </row>
    <row r="21" customFormat="false" ht="15" hidden="false" customHeight="true" outlineLevel="0" collapsed="false">
      <c r="A21" s="40" t="n">
        <v>17</v>
      </c>
      <c r="B21" s="11" t="s">
        <v>1075</v>
      </c>
      <c r="C21" s="11" t="s">
        <v>1078</v>
      </c>
      <c r="D21" s="135" t="n">
        <v>400</v>
      </c>
      <c r="E21" s="66" t="n">
        <v>40</v>
      </c>
      <c r="F21" s="15" t="n">
        <v>2</v>
      </c>
      <c r="G21" s="119" t="s">
        <v>1158</v>
      </c>
      <c r="H21" s="119" t="s">
        <v>1158</v>
      </c>
      <c r="I21" s="119" t="s">
        <v>1158</v>
      </c>
      <c r="J21" s="86" t="s">
        <v>1168</v>
      </c>
      <c r="K21" s="136"/>
    </row>
    <row r="22" customFormat="false" ht="15" hidden="false" customHeight="true" outlineLevel="0" collapsed="false">
      <c r="A22" s="40" t="n">
        <v>18</v>
      </c>
      <c r="B22" s="11" t="s">
        <v>1078</v>
      </c>
      <c r="C22" s="11" t="s">
        <v>275</v>
      </c>
      <c r="D22" s="135" t="n">
        <v>400</v>
      </c>
      <c r="E22" s="66" t="n">
        <v>35</v>
      </c>
      <c r="F22" s="15" t="n">
        <v>2</v>
      </c>
      <c r="G22" s="119" t="s">
        <v>1158</v>
      </c>
      <c r="H22" s="119" t="s">
        <v>1158</v>
      </c>
      <c r="I22" s="119" t="s">
        <v>1158</v>
      </c>
      <c r="J22" s="86" t="s">
        <v>1168</v>
      </c>
      <c r="K22" s="136"/>
    </row>
    <row r="23" customFormat="false" ht="15" hidden="false" customHeight="true" outlineLevel="0" collapsed="false">
      <c r="A23" s="40" t="n">
        <v>19</v>
      </c>
      <c r="B23" s="11" t="s">
        <v>1182</v>
      </c>
      <c r="C23" s="11" t="s">
        <v>1093</v>
      </c>
      <c r="D23" s="135" t="n">
        <v>400</v>
      </c>
      <c r="E23" s="66" t="n">
        <v>100</v>
      </c>
      <c r="F23" s="15" t="n">
        <v>2</v>
      </c>
      <c r="G23" s="119" t="s">
        <v>1158</v>
      </c>
      <c r="H23" s="119" t="s">
        <v>1158</v>
      </c>
      <c r="I23" s="119" t="s">
        <v>1158</v>
      </c>
      <c r="J23" s="86" t="s">
        <v>1183</v>
      </c>
      <c r="K23" s="136"/>
    </row>
    <row r="24" customFormat="false" ht="15" hidden="false" customHeight="true" outlineLevel="0" collapsed="false">
      <c r="A24" s="40" t="n">
        <v>20</v>
      </c>
      <c r="B24" s="11" t="s">
        <v>1167</v>
      </c>
      <c r="C24" s="11" t="s">
        <v>1098</v>
      </c>
      <c r="D24" s="135" t="n">
        <v>400</v>
      </c>
      <c r="E24" s="66" t="n">
        <v>15</v>
      </c>
      <c r="F24" s="15" t="n">
        <v>2</v>
      </c>
      <c r="G24" s="119" t="s">
        <v>1158</v>
      </c>
      <c r="H24" s="119" t="s">
        <v>1158</v>
      </c>
      <c r="I24" s="119" t="s">
        <v>1158</v>
      </c>
      <c r="J24" s="86" t="s">
        <v>1105</v>
      </c>
      <c r="K24" s="136"/>
    </row>
    <row r="25" customFormat="false" ht="15" hidden="false" customHeight="true" outlineLevel="0" collapsed="false">
      <c r="A25" s="40" t="n">
        <v>21</v>
      </c>
      <c r="B25" s="11" t="s">
        <v>1098</v>
      </c>
      <c r="C25" s="11" t="s">
        <v>1110</v>
      </c>
      <c r="D25" s="135" t="n">
        <v>400</v>
      </c>
      <c r="E25" s="66" t="n">
        <v>90</v>
      </c>
      <c r="F25" s="15" t="n">
        <v>2</v>
      </c>
      <c r="G25" s="119" t="s">
        <v>1158</v>
      </c>
      <c r="H25" s="119" t="s">
        <v>1158</v>
      </c>
      <c r="I25" s="119" t="s">
        <v>1158</v>
      </c>
      <c r="J25" s="86" t="s">
        <v>1105</v>
      </c>
      <c r="K25" s="136" t="s">
        <v>1184</v>
      </c>
    </row>
    <row r="26" customFormat="false" ht="15" hidden="false" customHeight="true" outlineLevel="0" collapsed="false">
      <c r="A26" s="40" t="n">
        <v>22</v>
      </c>
      <c r="B26" s="11" t="s">
        <v>1185</v>
      </c>
      <c r="C26" s="11" t="s">
        <v>1117</v>
      </c>
      <c r="D26" s="135" t="n">
        <v>400</v>
      </c>
      <c r="E26" s="66" t="n">
        <v>60</v>
      </c>
      <c r="F26" s="15" t="n">
        <v>2</v>
      </c>
      <c r="G26" s="119" t="s">
        <v>1158</v>
      </c>
      <c r="H26" s="119" t="s">
        <v>1158</v>
      </c>
      <c r="I26" s="119" t="s">
        <v>1158</v>
      </c>
      <c r="J26" s="86" t="s">
        <v>1105</v>
      </c>
      <c r="K26" s="136" t="s">
        <v>1186</v>
      </c>
    </row>
    <row r="27" customFormat="false" ht="15" hidden="false" customHeight="true" outlineLevel="0" collapsed="false">
      <c r="A27" s="40" t="n">
        <v>23</v>
      </c>
      <c r="B27" s="20" t="s">
        <v>977</v>
      </c>
      <c r="C27" s="20" t="s">
        <v>1187</v>
      </c>
      <c r="D27" s="137" t="n">
        <v>220</v>
      </c>
      <c r="E27" s="68" t="n">
        <v>0</v>
      </c>
      <c r="F27" s="12" t="n">
        <v>4</v>
      </c>
      <c r="G27" s="119" t="s">
        <v>1158</v>
      </c>
      <c r="H27" s="119" t="s">
        <v>1158</v>
      </c>
      <c r="I27" s="119" t="s">
        <v>1158</v>
      </c>
      <c r="J27" s="88" t="s">
        <v>971</v>
      </c>
      <c r="K27" s="138" t="s">
        <v>1188</v>
      </c>
    </row>
    <row r="28" customFormat="false" ht="15" hidden="false" customHeight="true" outlineLevel="0" collapsed="false">
      <c r="A28" s="40" t="n">
        <v>24</v>
      </c>
      <c r="B28" s="20" t="s">
        <v>1006</v>
      </c>
      <c r="C28" s="20" t="s">
        <v>264</v>
      </c>
      <c r="D28" s="137" t="n">
        <v>220</v>
      </c>
      <c r="E28" s="68" t="n">
        <v>70</v>
      </c>
      <c r="F28" s="12" t="n">
        <v>2</v>
      </c>
      <c r="G28" s="119" t="s">
        <v>1158</v>
      </c>
      <c r="H28" s="119" t="s">
        <v>1158</v>
      </c>
      <c r="I28" s="119" t="s">
        <v>1158</v>
      </c>
      <c r="J28" s="88" t="s">
        <v>1178</v>
      </c>
      <c r="K28" s="138"/>
    </row>
    <row r="29" customFormat="false" ht="15" hidden="false" customHeight="true" outlineLevel="0" collapsed="false">
      <c r="A29" s="40" t="n">
        <v>25</v>
      </c>
      <c r="B29" s="20" t="s">
        <v>1006</v>
      </c>
      <c r="C29" s="20" t="s">
        <v>1040</v>
      </c>
      <c r="D29" s="137" t="n">
        <v>220</v>
      </c>
      <c r="E29" s="68" t="n">
        <v>80</v>
      </c>
      <c r="F29" s="12" t="n">
        <v>2</v>
      </c>
      <c r="G29" s="119" t="s">
        <v>1158</v>
      </c>
      <c r="H29" s="119" t="s">
        <v>1158</v>
      </c>
      <c r="I29" s="119" t="s">
        <v>1158</v>
      </c>
      <c r="J29" s="88" t="s">
        <v>971</v>
      </c>
      <c r="K29" s="138"/>
    </row>
    <row r="30" customFormat="false" ht="15" hidden="false" customHeight="true" outlineLevel="0" collapsed="false">
      <c r="A30" s="40" t="n">
        <v>26</v>
      </c>
      <c r="B30" s="20" t="s">
        <v>333</v>
      </c>
      <c r="C30" s="20" t="s">
        <v>977</v>
      </c>
      <c r="D30" s="137" t="n">
        <v>220</v>
      </c>
      <c r="E30" s="68" t="n">
        <v>60</v>
      </c>
      <c r="F30" s="12" t="n">
        <v>2</v>
      </c>
      <c r="G30" s="119" t="s">
        <v>1158</v>
      </c>
      <c r="H30" s="119" t="s">
        <v>1158</v>
      </c>
      <c r="I30" s="119" t="s">
        <v>1158</v>
      </c>
      <c r="J30" s="88" t="s">
        <v>971</v>
      </c>
      <c r="K30" s="138" t="s">
        <v>1189</v>
      </c>
    </row>
    <row r="31" customFormat="false" ht="15" hidden="false" customHeight="true" outlineLevel="0" collapsed="false">
      <c r="A31" s="40" t="n">
        <v>27</v>
      </c>
      <c r="B31" s="20" t="s">
        <v>1190</v>
      </c>
      <c r="C31" s="20" t="s">
        <v>264</v>
      </c>
      <c r="D31" s="137" t="n">
        <v>220</v>
      </c>
      <c r="E31" s="68" t="n">
        <v>30</v>
      </c>
      <c r="F31" s="12" t="n">
        <v>2</v>
      </c>
      <c r="G31" s="119" t="s">
        <v>1158</v>
      </c>
      <c r="H31" s="119" t="s">
        <v>1158</v>
      </c>
      <c r="I31" s="119" t="s">
        <v>1158</v>
      </c>
      <c r="J31" s="88" t="s">
        <v>971</v>
      </c>
      <c r="K31" s="138" t="s">
        <v>1191</v>
      </c>
    </row>
    <row r="32" customFormat="false" ht="15" hidden="false" customHeight="true" outlineLevel="0" collapsed="false">
      <c r="A32" s="40" t="n">
        <v>28</v>
      </c>
      <c r="B32" s="20" t="s">
        <v>264</v>
      </c>
      <c r="C32" s="20" t="s">
        <v>1040</v>
      </c>
      <c r="D32" s="137" t="n">
        <v>220</v>
      </c>
      <c r="E32" s="68" t="n">
        <v>25</v>
      </c>
      <c r="F32" s="12" t="n">
        <v>2</v>
      </c>
      <c r="G32" s="119" t="s">
        <v>1158</v>
      </c>
      <c r="H32" s="119" t="s">
        <v>1158</v>
      </c>
      <c r="I32" s="119" t="s">
        <v>1158</v>
      </c>
      <c r="J32" s="88" t="s">
        <v>1015</v>
      </c>
      <c r="K32" s="138"/>
    </row>
    <row r="33" customFormat="false" ht="15" hidden="false" customHeight="true" outlineLevel="0" collapsed="false">
      <c r="A33" s="40" t="n">
        <v>29</v>
      </c>
      <c r="B33" s="20" t="s">
        <v>1040</v>
      </c>
      <c r="C33" s="20" t="s">
        <v>1019</v>
      </c>
      <c r="D33" s="137" t="n">
        <v>220</v>
      </c>
      <c r="E33" s="68" t="n">
        <v>90</v>
      </c>
      <c r="F33" s="12" t="n">
        <v>2</v>
      </c>
      <c r="G33" s="119" t="s">
        <v>1158</v>
      </c>
      <c r="H33" s="119" t="s">
        <v>1158</v>
      </c>
      <c r="I33" s="119" t="s">
        <v>1158</v>
      </c>
      <c r="J33" s="88" t="s">
        <v>1015</v>
      </c>
      <c r="K33" s="138"/>
    </row>
    <row r="34" customFormat="false" ht="15" hidden="false" customHeight="true" outlineLevel="0" collapsed="false">
      <c r="A34" s="40" t="n">
        <v>30</v>
      </c>
      <c r="B34" s="20" t="s">
        <v>1019</v>
      </c>
      <c r="C34" s="20" t="s">
        <v>1042</v>
      </c>
      <c r="D34" s="137" t="n">
        <v>220</v>
      </c>
      <c r="E34" s="68" t="n">
        <v>60</v>
      </c>
      <c r="F34" s="12" t="n">
        <v>2</v>
      </c>
      <c r="G34" s="119" t="s">
        <v>1158</v>
      </c>
      <c r="H34" s="119" t="s">
        <v>1158</v>
      </c>
      <c r="I34" s="119" t="s">
        <v>1158</v>
      </c>
      <c r="J34" s="88" t="s">
        <v>1015</v>
      </c>
      <c r="K34" s="138"/>
    </row>
    <row r="35" customFormat="false" ht="15" hidden="false" customHeight="true" outlineLevel="0" collapsed="false">
      <c r="A35" s="40" t="n">
        <v>31</v>
      </c>
      <c r="B35" s="20" t="s">
        <v>1019</v>
      </c>
      <c r="C35" s="20" t="s">
        <v>1045</v>
      </c>
      <c r="D35" s="137" t="n">
        <v>220</v>
      </c>
      <c r="E35" s="68" t="n">
        <v>40</v>
      </c>
      <c r="F35" s="12" t="n">
        <v>2</v>
      </c>
      <c r="G35" s="119" t="s">
        <v>1158</v>
      </c>
      <c r="H35" s="119" t="s">
        <v>1158</v>
      </c>
      <c r="I35" s="119" t="s">
        <v>1158</v>
      </c>
      <c r="J35" s="88" t="s">
        <v>1015</v>
      </c>
      <c r="K35" s="138"/>
    </row>
    <row r="36" customFormat="false" ht="15" hidden="false" customHeight="true" outlineLevel="0" collapsed="false">
      <c r="A36" s="40" t="n">
        <v>32</v>
      </c>
      <c r="B36" s="20" t="s">
        <v>1019</v>
      </c>
      <c r="C36" s="20" t="s">
        <v>1192</v>
      </c>
      <c r="D36" s="137" t="n">
        <v>220</v>
      </c>
      <c r="E36" s="68" t="n">
        <v>35</v>
      </c>
      <c r="F36" s="12" t="n">
        <v>2</v>
      </c>
      <c r="G36" s="119" t="s">
        <v>1158</v>
      </c>
      <c r="H36" s="119" t="s">
        <v>1158</v>
      </c>
      <c r="I36" s="119" t="s">
        <v>1158</v>
      </c>
      <c r="J36" s="88" t="s">
        <v>1015</v>
      </c>
      <c r="K36" s="138"/>
    </row>
    <row r="37" customFormat="false" ht="15" hidden="false" customHeight="true" outlineLevel="0" collapsed="false">
      <c r="A37" s="40" t="n">
        <v>33</v>
      </c>
      <c r="B37" s="20" t="s">
        <v>1024</v>
      </c>
      <c r="C37" s="20" t="s">
        <v>1030</v>
      </c>
      <c r="D37" s="137" t="n">
        <v>220</v>
      </c>
      <c r="E37" s="68" t="n">
        <v>55</v>
      </c>
      <c r="F37" s="12" t="n">
        <v>2</v>
      </c>
      <c r="G37" s="119" t="s">
        <v>1158</v>
      </c>
      <c r="H37" s="119" t="s">
        <v>1158</v>
      </c>
      <c r="I37" s="119" t="s">
        <v>1158</v>
      </c>
      <c r="J37" s="88" t="s">
        <v>1015</v>
      </c>
      <c r="K37" s="138"/>
    </row>
    <row r="38" customFormat="false" ht="15" hidden="false" customHeight="true" outlineLevel="0" collapsed="false">
      <c r="A38" s="40" t="n">
        <v>34</v>
      </c>
      <c r="B38" s="20" t="s">
        <v>1027</v>
      </c>
      <c r="C38" s="20" t="s">
        <v>1037</v>
      </c>
      <c r="D38" s="137" t="n">
        <v>220</v>
      </c>
      <c r="E38" s="68" t="n">
        <v>65</v>
      </c>
      <c r="F38" s="12" t="n">
        <v>2</v>
      </c>
      <c r="G38" s="119" t="s">
        <v>1158</v>
      </c>
      <c r="H38" s="119" t="s">
        <v>1158</v>
      </c>
      <c r="I38" s="119" t="s">
        <v>1158</v>
      </c>
      <c r="J38" s="88" t="s">
        <v>1015</v>
      </c>
      <c r="K38" s="138"/>
    </row>
    <row r="39" customFormat="false" ht="15" hidden="false" customHeight="true" outlineLevel="0" collapsed="false">
      <c r="A39" s="40" t="n">
        <v>35</v>
      </c>
      <c r="B39" s="20" t="s">
        <v>1193</v>
      </c>
      <c r="C39" s="20" t="s">
        <v>1027</v>
      </c>
      <c r="D39" s="137" t="n">
        <v>220</v>
      </c>
      <c r="E39" s="68" t="n">
        <v>55</v>
      </c>
      <c r="F39" s="12" t="n">
        <v>1</v>
      </c>
      <c r="G39" s="119" t="s">
        <v>1158</v>
      </c>
      <c r="H39" s="119" t="s">
        <v>1158</v>
      </c>
      <c r="I39" s="119" t="s">
        <v>1158</v>
      </c>
      <c r="J39" s="88" t="s">
        <v>1015</v>
      </c>
      <c r="K39" s="138" t="s">
        <v>1194</v>
      </c>
    </row>
    <row r="40" customFormat="false" ht="15" hidden="false" customHeight="true" outlineLevel="0" collapsed="false">
      <c r="A40" s="40" t="n">
        <v>36</v>
      </c>
      <c r="B40" s="20" t="s">
        <v>1057</v>
      </c>
      <c r="C40" s="20" t="s">
        <v>271</v>
      </c>
      <c r="D40" s="137" t="n">
        <v>220</v>
      </c>
      <c r="E40" s="68" t="n">
        <v>30</v>
      </c>
      <c r="F40" s="12" t="n">
        <v>4</v>
      </c>
      <c r="G40" s="119" t="s">
        <v>1158</v>
      </c>
      <c r="H40" s="119" t="s">
        <v>1158</v>
      </c>
      <c r="I40" s="119" t="s">
        <v>1158</v>
      </c>
      <c r="J40" s="88" t="s">
        <v>1195</v>
      </c>
      <c r="K40" s="138"/>
    </row>
    <row r="41" customFormat="false" ht="15" hidden="false" customHeight="true" outlineLevel="0" collapsed="false">
      <c r="A41" s="40" t="n">
        <v>37</v>
      </c>
      <c r="B41" s="20" t="s">
        <v>1055</v>
      </c>
      <c r="C41" s="20" t="s">
        <v>1057</v>
      </c>
      <c r="D41" s="137" t="n">
        <v>220</v>
      </c>
      <c r="E41" s="68" t="n">
        <v>60</v>
      </c>
      <c r="F41" s="12" t="n">
        <v>2</v>
      </c>
      <c r="G41" s="119" t="s">
        <v>1158</v>
      </c>
      <c r="H41" s="119" t="s">
        <v>1158</v>
      </c>
      <c r="I41" s="119" t="s">
        <v>1158</v>
      </c>
      <c r="J41" s="88" t="s">
        <v>1051</v>
      </c>
      <c r="K41" s="138"/>
    </row>
    <row r="42" customFormat="false" ht="15" hidden="false" customHeight="true" outlineLevel="0" collapsed="false">
      <c r="A42" s="40" t="n">
        <v>38</v>
      </c>
      <c r="B42" s="20" t="s">
        <v>1064</v>
      </c>
      <c r="C42" s="20" t="s">
        <v>1057</v>
      </c>
      <c r="D42" s="137" t="n">
        <v>220</v>
      </c>
      <c r="E42" s="68" t="n">
        <v>55</v>
      </c>
      <c r="F42" s="12" t="n">
        <v>2</v>
      </c>
      <c r="G42" s="119" t="s">
        <v>1158</v>
      </c>
      <c r="H42" s="119" t="s">
        <v>1158</v>
      </c>
      <c r="I42" s="119" t="s">
        <v>1158</v>
      </c>
      <c r="J42" s="88" t="s">
        <v>1051</v>
      </c>
      <c r="K42" s="138"/>
    </row>
    <row r="43" customFormat="false" ht="15" hidden="false" customHeight="true" outlineLevel="0" collapsed="false">
      <c r="A43" s="40" t="n">
        <v>39</v>
      </c>
      <c r="B43" s="20" t="s">
        <v>1060</v>
      </c>
      <c r="C43" s="20" t="s">
        <v>1057</v>
      </c>
      <c r="D43" s="137" t="n">
        <v>220</v>
      </c>
      <c r="E43" s="68" t="n">
        <v>50</v>
      </c>
      <c r="F43" s="12" t="n">
        <v>2</v>
      </c>
      <c r="G43" s="119" t="s">
        <v>1158</v>
      </c>
      <c r="H43" s="119" t="s">
        <v>1158</v>
      </c>
      <c r="I43" s="119" t="s">
        <v>1158</v>
      </c>
      <c r="J43" s="88" t="s">
        <v>1051</v>
      </c>
      <c r="K43" s="138"/>
    </row>
    <row r="44" customFormat="false" ht="15" hidden="false" customHeight="true" outlineLevel="0" collapsed="false">
      <c r="A44" s="40" t="n">
        <v>40</v>
      </c>
      <c r="B44" s="20" t="s">
        <v>1164</v>
      </c>
      <c r="C44" s="20" t="s">
        <v>1057</v>
      </c>
      <c r="D44" s="137" t="n">
        <v>220</v>
      </c>
      <c r="E44" s="68" t="n">
        <v>80</v>
      </c>
      <c r="F44" s="12" t="n">
        <v>2</v>
      </c>
      <c r="G44" s="119" t="s">
        <v>1158</v>
      </c>
      <c r="H44" s="119" t="s">
        <v>1158</v>
      </c>
      <c r="I44" s="119" t="s">
        <v>1158</v>
      </c>
      <c r="J44" s="88" t="s">
        <v>1051</v>
      </c>
      <c r="K44" s="138"/>
    </row>
    <row r="45" customFormat="false" ht="15" hidden="false" customHeight="true" outlineLevel="0" collapsed="false">
      <c r="A45" s="40" t="n">
        <v>41</v>
      </c>
      <c r="B45" s="20" t="s">
        <v>1196</v>
      </c>
      <c r="C45" s="20" t="s">
        <v>1060</v>
      </c>
      <c r="D45" s="137" t="n">
        <v>220</v>
      </c>
      <c r="E45" s="68" t="n">
        <v>60</v>
      </c>
      <c r="F45" s="12" t="n">
        <v>4</v>
      </c>
      <c r="G45" s="119" t="s">
        <v>1158</v>
      </c>
      <c r="H45" s="119" t="s">
        <v>1158</v>
      </c>
      <c r="I45" s="119" t="s">
        <v>1158</v>
      </c>
      <c r="J45" s="88" t="s">
        <v>1051</v>
      </c>
      <c r="K45" s="138" t="s">
        <v>1197</v>
      </c>
    </row>
    <row r="46" customFormat="false" ht="15" hidden="false" customHeight="true" outlineLevel="0" collapsed="false">
      <c r="A46" s="40" t="n">
        <v>42</v>
      </c>
      <c r="B46" s="20" t="s">
        <v>271</v>
      </c>
      <c r="C46" s="20" t="s">
        <v>275</v>
      </c>
      <c r="D46" s="137" t="n">
        <v>220</v>
      </c>
      <c r="E46" s="68" t="n">
        <v>60</v>
      </c>
      <c r="F46" s="12" t="n">
        <v>4</v>
      </c>
      <c r="G46" s="119" t="s">
        <v>1158</v>
      </c>
      <c r="H46" s="119" t="s">
        <v>1158</v>
      </c>
      <c r="I46" s="119" t="s">
        <v>1158</v>
      </c>
      <c r="J46" s="88" t="s">
        <v>1168</v>
      </c>
      <c r="K46" s="138" t="s">
        <v>1198</v>
      </c>
    </row>
    <row r="47" customFormat="false" ht="15" hidden="false" customHeight="true" outlineLevel="0" collapsed="false">
      <c r="A47" s="40" t="n">
        <v>43</v>
      </c>
      <c r="B47" s="20" t="s">
        <v>275</v>
      </c>
      <c r="C47" s="20" t="s">
        <v>1167</v>
      </c>
      <c r="D47" s="137" t="n">
        <v>220</v>
      </c>
      <c r="E47" s="68" t="n">
        <v>65</v>
      </c>
      <c r="F47" s="12" t="n">
        <v>4</v>
      </c>
      <c r="G47" s="119" t="s">
        <v>1158</v>
      </c>
      <c r="H47" s="119" t="s">
        <v>1158</v>
      </c>
      <c r="I47" s="119" t="s">
        <v>1158</v>
      </c>
      <c r="J47" s="88" t="s">
        <v>1183</v>
      </c>
      <c r="K47" s="138"/>
    </row>
    <row r="48" customFormat="false" ht="15" hidden="false" customHeight="true" outlineLevel="0" collapsed="false">
      <c r="A48" s="40" t="n">
        <v>44</v>
      </c>
      <c r="B48" s="20" t="s">
        <v>275</v>
      </c>
      <c r="C48" s="20" t="s">
        <v>1087</v>
      </c>
      <c r="D48" s="137" t="n">
        <v>220</v>
      </c>
      <c r="E48" s="68" t="n">
        <v>50</v>
      </c>
      <c r="F48" s="12" t="n">
        <v>2</v>
      </c>
      <c r="G48" s="119" t="s">
        <v>1158</v>
      </c>
      <c r="H48" s="119" t="s">
        <v>1158</v>
      </c>
      <c r="I48" s="119" t="s">
        <v>1158</v>
      </c>
      <c r="J48" s="88" t="s">
        <v>1168</v>
      </c>
      <c r="K48" s="138"/>
    </row>
    <row r="49" customFormat="false" ht="15" hidden="false" customHeight="true" outlineLevel="0" collapsed="false">
      <c r="A49" s="40" t="n">
        <v>45</v>
      </c>
      <c r="B49" s="20" t="s">
        <v>1090</v>
      </c>
      <c r="C49" s="20" t="s">
        <v>1167</v>
      </c>
      <c r="D49" s="137" t="n">
        <v>220</v>
      </c>
      <c r="E49" s="68" t="n">
        <v>40</v>
      </c>
      <c r="F49" s="12" t="n">
        <v>2</v>
      </c>
      <c r="G49" s="119" t="s">
        <v>1158</v>
      </c>
      <c r="H49" s="119" t="s">
        <v>1158</v>
      </c>
      <c r="I49" s="119" t="s">
        <v>1158</v>
      </c>
      <c r="J49" s="88" t="s">
        <v>1168</v>
      </c>
      <c r="K49" s="138"/>
    </row>
    <row r="50" customFormat="false" ht="15" hidden="false" customHeight="true" outlineLevel="0" collapsed="false">
      <c r="A50" s="40" t="n">
        <v>46</v>
      </c>
      <c r="B50" s="20" t="s">
        <v>1075</v>
      </c>
      <c r="C50" s="20" t="s">
        <v>271</v>
      </c>
      <c r="D50" s="137" t="n">
        <v>220</v>
      </c>
      <c r="E50" s="68" t="n">
        <v>15</v>
      </c>
      <c r="F50" s="12" t="n">
        <v>4</v>
      </c>
      <c r="G50" s="119" t="s">
        <v>1158</v>
      </c>
      <c r="H50" s="119" t="s">
        <v>1158</v>
      </c>
      <c r="I50" s="119" t="s">
        <v>1158</v>
      </c>
      <c r="J50" s="88" t="s">
        <v>1168</v>
      </c>
      <c r="K50" s="138"/>
    </row>
    <row r="51" customFormat="false" ht="15" hidden="false" customHeight="true" outlineLevel="0" collapsed="false">
      <c r="A51" s="40" t="n">
        <v>47</v>
      </c>
      <c r="B51" s="20" t="s">
        <v>271</v>
      </c>
      <c r="C51" s="20" t="s">
        <v>1078</v>
      </c>
      <c r="D51" s="137" t="n">
        <v>220</v>
      </c>
      <c r="E51" s="68" t="n">
        <v>25</v>
      </c>
      <c r="F51" s="12" t="n">
        <v>2</v>
      </c>
      <c r="G51" s="119" t="s">
        <v>1158</v>
      </c>
      <c r="H51" s="119" t="s">
        <v>1158</v>
      </c>
      <c r="I51" s="119" t="s">
        <v>1158</v>
      </c>
      <c r="J51" s="88" t="s">
        <v>1168</v>
      </c>
      <c r="K51" s="138"/>
    </row>
    <row r="52" customFormat="false" ht="15" hidden="false" customHeight="true" outlineLevel="0" collapsed="false">
      <c r="A52" s="40" t="n">
        <v>48</v>
      </c>
      <c r="B52" s="20" t="s">
        <v>1104</v>
      </c>
      <c r="C52" s="20" t="s">
        <v>1185</v>
      </c>
      <c r="D52" s="137" t="n">
        <v>220</v>
      </c>
      <c r="E52" s="68" t="n">
        <v>60</v>
      </c>
      <c r="F52" s="12" t="n">
        <v>4</v>
      </c>
      <c r="G52" s="119" t="s">
        <v>1158</v>
      </c>
      <c r="H52" s="119" t="s">
        <v>1158</v>
      </c>
      <c r="I52" s="119" t="s">
        <v>1158</v>
      </c>
      <c r="J52" s="88" t="s">
        <v>1105</v>
      </c>
      <c r="K52" s="138" t="s">
        <v>1199</v>
      </c>
    </row>
    <row r="53" customFormat="false" ht="15" hidden="false" customHeight="true" outlineLevel="0" collapsed="false">
      <c r="A53" s="40" t="n">
        <v>49</v>
      </c>
      <c r="B53" s="20" t="s">
        <v>1104</v>
      </c>
      <c r="C53" s="20" t="s">
        <v>1167</v>
      </c>
      <c r="D53" s="137" t="n">
        <v>220</v>
      </c>
      <c r="E53" s="68" t="n">
        <v>110</v>
      </c>
      <c r="F53" s="12" t="n">
        <v>2</v>
      </c>
      <c r="G53" s="119" t="s">
        <v>1158</v>
      </c>
      <c r="H53" s="119" t="s">
        <v>1158</v>
      </c>
      <c r="I53" s="119" t="s">
        <v>1158</v>
      </c>
      <c r="J53" s="88" t="s">
        <v>1105</v>
      </c>
      <c r="K53" s="138"/>
    </row>
    <row r="54" customFormat="false" ht="15" hidden="false" customHeight="true" outlineLevel="0" collapsed="false">
      <c r="A54" s="40" t="n">
        <v>50</v>
      </c>
      <c r="B54" s="20" t="s">
        <v>1185</v>
      </c>
      <c r="C54" s="20" t="s">
        <v>1126</v>
      </c>
      <c r="D54" s="137" t="n">
        <v>220</v>
      </c>
      <c r="E54" s="68" t="n">
        <v>50</v>
      </c>
      <c r="F54" s="12" t="n">
        <v>4</v>
      </c>
      <c r="G54" s="119" t="s">
        <v>1158</v>
      </c>
      <c r="H54" s="119" t="s">
        <v>1158</v>
      </c>
      <c r="I54" s="119" t="s">
        <v>1158</v>
      </c>
      <c r="J54" s="88" t="s">
        <v>1105</v>
      </c>
      <c r="K54" s="138"/>
    </row>
    <row r="55" customFormat="false" ht="15" hidden="false" customHeight="true" outlineLevel="0" collapsed="false">
      <c r="A55" s="40" t="n">
        <v>51</v>
      </c>
      <c r="B55" s="20" t="s">
        <v>1126</v>
      </c>
      <c r="C55" s="20" t="s">
        <v>1167</v>
      </c>
      <c r="D55" s="137" t="n">
        <v>220</v>
      </c>
      <c r="E55" s="68" t="n">
        <v>55</v>
      </c>
      <c r="F55" s="12" t="n">
        <v>4</v>
      </c>
      <c r="G55" s="119" t="s">
        <v>1158</v>
      </c>
      <c r="H55" s="119" t="s">
        <v>1158</v>
      </c>
      <c r="I55" s="119" t="s">
        <v>1158</v>
      </c>
      <c r="J55" s="88" t="s">
        <v>1105</v>
      </c>
      <c r="K55" s="138"/>
    </row>
    <row r="56" customFormat="false" ht="15" hidden="false" customHeight="true" outlineLevel="0" collapsed="false">
      <c r="A56" s="40" t="n">
        <v>52</v>
      </c>
      <c r="B56" s="20" t="s">
        <v>1121</v>
      </c>
      <c r="C56" s="20" t="s">
        <v>1185</v>
      </c>
      <c r="D56" s="137" t="n">
        <v>220</v>
      </c>
      <c r="E56" s="68" t="n">
        <v>15</v>
      </c>
      <c r="F56" s="12" t="n">
        <v>2</v>
      </c>
      <c r="G56" s="119" t="s">
        <v>1158</v>
      </c>
      <c r="H56" s="119" t="s">
        <v>1158</v>
      </c>
      <c r="I56" s="119" t="s">
        <v>1158</v>
      </c>
      <c r="J56" s="88" t="s">
        <v>1105</v>
      </c>
      <c r="K56" s="138" t="s">
        <v>1200</v>
      </c>
    </row>
    <row r="57" customFormat="false" ht="15" hidden="false" customHeight="true" outlineLevel="0" collapsed="false">
      <c r="A57" s="40" t="n">
        <v>53</v>
      </c>
      <c r="B57" s="20" t="s">
        <v>1201</v>
      </c>
      <c r="C57" s="20" t="s">
        <v>1126</v>
      </c>
      <c r="D57" s="137" t="n">
        <v>220</v>
      </c>
      <c r="E57" s="68" t="n">
        <v>20</v>
      </c>
      <c r="F57" s="12" t="n">
        <v>2</v>
      </c>
      <c r="G57" s="119" t="s">
        <v>1158</v>
      </c>
      <c r="H57" s="119" t="s">
        <v>1158</v>
      </c>
      <c r="I57" s="119" t="s">
        <v>1158</v>
      </c>
      <c r="J57" s="88" t="s">
        <v>1105</v>
      </c>
      <c r="K57" s="138" t="s">
        <v>1202</v>
      </c>
    </row>
    <row r="58" customFormat="false" ht="15" hidden="false" customHeight="true" outlineLevel="0" collapsed="false">
      <c r="A58" s="40" t="n">
        <v>54</v>
      </c>
      <c r="B58" s="20" t="s">
        <v>1203</v>
      </c>
      <c r="C58" s="20" t="s">
        <v>1126</v>
      </c>
      <c r="D58" s="137" t="n">
        <v>220</v>
      </c>
      <c r="E58" s="68" t="n">
        <v>25</v>
      </c>
      <c r="F58" s="12" t="n">
        <v>2</v>
      </c>
      <c r="G58" s="119" t="s">
        <v>1158</v>
      </c>
      <c r="H58" s="119" t="s">
        <v>1158</v>
      </c>
      <c r="I58" s="119" t="s">
        <v>1158</v>
      </c>
      <c r="J58" s="88" t="s">
        <v>1105</v>
      </c>
      <c r="K58" s="138" t="s">
        <v>1202</v>
      </c>
    </row>
    <row r="59" customFormat="false" ht="15" hidden="false" customHeight="true" outlineLevel="0" collapsed="false">
      <c r="A59" s="40" t="n">
        <v>55</v>
      </c>
      <c r="B59" s="20" t="s">
        <v>1204</v>
      </c>
      <c r="C59" s="20" t="s">
        <v>1185</v>
      </c>
      <c r="D59" s="137" t="n">
        <v>220</v>
      </c>
      <c r="E59" s="68" t="n">
        <v>10</v>
      </c>
      <c r="F59" s="12" t="n">
        <v>2</v>
      </c>
      <c r="G59" s="119" t="s">
        <v>1158</v>
      </c>
      <c r="H59" s="119" t="s">
        <v>1158</v>
      </c>
      <c r="I59" s="119" t="s">
        <v>1158</v>
      </c>
      <c r="J59" s="88" t="s">
        <v>1105</v>
      </c>
      <c r="K59" s="138" t="s">
        <v>1036</v>
      </c>
    </row>
    <row r="60" customFormat="false" ht="15" hidden="false" customHeight="true" outlineLevel="0" collapsed="false">
      <c r="A60" s="40" t="n">
        <v>56</v>
      </c>
      <c r="B60" s="20" t="s">
        <v>1205</v>
      </c>
      <c r="C60" s="20" t="s">
        <v>1185</v>
      </c>
      <c r="D60" s="137" t="n">
        <v>220</v>
      </c>
      <c r="E60" s="68" t="n">
        <v>15</v>
      </c>
      <c r="F60" s="12" t="n">
        <v>2</v>
      </c>
      <c r="G60" s="119" t="s">
        <v>1158</v>
      </c>
      <c r="H60" s="119" t="s">
        <v>1158</v>
      </c>
      <c r="I60" s="119" t="s">
        <v>1158</v>
      </c>
      <c r="J60" s="88" t="s">
        <v>1105</v>
      </c>
      <c r="K60" s="138" t="s">
        <v>1036</v>
      </c>
    </row>
    <row r="61" customFormat="false" ht="15" hidden="false" customHeight="true" outlineLevel="0" collapsed="false">
      <c r="A61" s="40" t="n">
        <v>57</v>
      </c>
      <c r="B61" s="20" t="s">
        <v>1206</v>
      </c>
      <c r="C61" s="20" t="s">
        <v>1090</v>
      </c>
      <c r="D61" s="137" t="n">
        <v>220</v>
      </c>
      <c r="E61" s="68" t="n">
        <v>30</v>
      </c>
      <c r="F61" s="12" t="n">
        <v>2</v>
      </c>
      <c r="G61" s="119" t="s">
        <v>1158</v>
      </c>
      <c r="H61" s="119" t="s">
        <v>1158</v>
      </c>
      <c r="I61" s="119" t="s">
        <v>1158</v>
      </c>
      <c r="J61" s="88" t="s">
        <v>1105</v>
      </c>
      <c r="K61" s="138" t="s">
        <v>1036</v>
      </c>
    </row>
    <row r="62" customFormat="false" ht="15" hidden="false" customHeight="true" outlineLevel="0" collapsed="false">
      <c r="A62" s="40" t="n">
        <v>58</v>
      </c>
      <c r="B62" s="20" t="s">
        <v>1185</v>
      </c>
      <c r="C62" s="20" t="s">
        <v>1114</v>
      </c>
      <c r="D62" s="137" t="n">
        <v>220</v>
      </c>
      <c r="E62" s="68" t="n">
        <v>45</v>
      </c>
      <c r="F62" s="12" t="n">
        <v>2</v>
      </c>
      <c r="G62" s="119" t="s">
        <v>1158</v>
      </c>
      <c r="H62" s="119" t="s">
        <v>1158</v>
      </c>
      <c r="I62" s="119" t="s">
        <v>1158</v>
      </c>
      <c r="J62" s="88" t="s">
        <v>1105</v>
      </c>
      <c r="K62" s="138"/>
    </row>
    <row r="63" customFormat="false" ht="15" hidden="false" customHeight="true" outlineLevel="0" collapsed="false">
      <c r="A63" s="40" t="n">
        <v>59</v>
      </c>
      <c r="B63" s="20" t="s">
        <v>1114</v>
      </c>
      <c r="C63" s="20" t="s">
        <v>1117</v>
      </c>
      <c r="D63" s="137" t="n">
        <v>220</v>
      </c>
      <c r="E63" s="68" t="n">
        <v>35</v>
      </c>
      <c r="F63" s="12" t="n">
        <v>2</v>
      </c>
      <c r="G63" s="119" t="s">
        <v>1158</v>
      </c>
      <c r="H63" s="119" t="s">
        <v>1158</v>
      </c>
      <c r="I63" s="119" t="s">
        <v>1158</v>
      </c>
      <c r="J63" s="88" t="s">
        <v>1105</v>
      </c>
      <c r="K63" s="138" t="s">
        <v>1186</v>
      </c>
    </row>
    <row r="64" customFormat="false" ht="15" hidden="false" customHeight="true" outlineLevel="0" collapsed="false">
      <c r="A64" s="40" t="n">
        <v>60</v>
      </c>
      <c r="B64" s="127" t="s">
        <v>1164</v>
      </c>
      <c r="C64" s="127" t="s">
        <v>1207</v>
      </c>
      <c r="D64" s="128" t="n">
        <v>765</v>
      </c>
      <c r="E64" s="129" t="n">
        <v>280</v>
      </c>
      <c r="F64" s="122" t="n">
        <v>2</v>
      </c>
      <c r="G64" s="119" t="s">
        <v>1158</v>
      </c>
      <c r="H64" s="119" t="s">
        <v>1158</v>
      </c>
      <c r="I64" s="119" t="s">
        <v>1158</v>
      </c>
      <c r="J64" s="130" t="s">
        <v>1208</v>
      </c>
      <c r="K64" s="131" t="s">
        <v>1209</v>
      </c>
    </row>
    <row r="65" customFormat="false" ht="15" hidden="false" customHeight="true" outlineLevel="0" collapsed="false">
      <c r="A65" s="40" t="n">
        <v>61</v>
      </c>
      <c r="B65" s="11" t="s">
        <v>1167</v>
      </c>
      <c r="C65" s="11" t="s">
        <v>1210</v>
      </c>
      <c r="D65" s="135" t="n">
        <v>400</v>
      </c>
      <c r="E65" s="66" t="n">
        <v>250</v>
      </c>
      <c r="F65" s="15" t="n">
        <v>2</v>
      </c>
      <c r="G65" s="119" t="s">
        <v>1158</v>
      </c>
      <c r="H65" s="119" t="s">
        <v>1158</v>
      </c>
      <c r="I65" s="119" t="s">
        <v>1158</v>
      </c>
      <c r="J65" s="86" t="s">
        <v>1211</v>
      </c>
      <c r="K65" s="136" t="s">
        <v>1212</v>
      </c>
    </row>
    <row r="66" customFormat="false" ht="15" hidden="false" customHeight="true" outlineLevel="0" collapsed="false">
      <c r="A66" s="40" t="n">
        <v>62</v>
      </c>
      <c r="B66" s="11" t="s">
        <v>1117</v>
      </c>
      <c r="C66" s="11" t="s">
        <v>1213</v>
      </c>
      <c r="D66" s="135" t="n">
        <v>400</v>
      </c>
      <c r="E66" s="66" t="n">
        <v>180</v>
      </c>
      <c r="F66" s="15" t="n">
        <v>2</v>
      </c>
      <c r="G66" s="119" t="s">
        <v>1158</v>
      </c>
      <c r="H66" s="119" t="s">
        <v>1158</v>
      </c>
      <c r="I66" s="119" t="s">
        <v>1158</v>
      </c>
      <c r="J66" s="86" t="s">
        <v>1214</v>
      </c>
      <c r="K66" s="136" t="s">
        <v>1215</v>
      </c>
    </row>
    <row r="67" customFormat="false" ht="15" hidden="false" customHeight="true" outlineLevel="0" collapsed="false">
      <c r="A67" s="40" t="n">
        <v>63</v>
      </c>
      <c r="B67" s="20" t="s">
        <v>1103</v>
      </c>
      <c r="C67" s="20" t="s">
        <v>1216</v>
      </c>
      <c r="D67" s="137" t="n">
        <v>220</v>
      </c>
      <c r="E67" s="68" t="n">
        <v>180</v>
      </c>
      <c r="F67" s="12" t="n">
        <v>2</v>
      </c>
      <c r="G67" s="119" t="s">
        <v>1158</v>
      </c>
      <c r="H67" s="119" t="s">
        <v>1158</v>
      </c>
      <c r="I67" s="119" t="s">
        <v>1158</v>
      </c>
      <c r="J67" s="88" t="s">
        <v>1217</v>
      </c>
      <c r="K67" s="138" t="s">
        <v>1218</v>
      </c>
    </row>
  </sheetData>
  <mergeCells count="3">
    <mergeCell ref="A1:K1"/>
    <mergeCell ref="A2:K2"/>
    <mergeCell ref="A3:K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6"/>
    <col collapsed="false" customWidth="true" hidden="false" outlineLevel="0" max="3" min="2" style="1" width="18"/>
    <col collapsed="false" customWidth="true" hidden="false" outlineLevel="0" max="4" min="4" style="1" width="14"/>
    <col collapsed="false" customWidth="true" hidden="false" outlineLevel="0" max="5" min="5" style="1" width="38"/>
    <col collapsed="false" customWidth="true" hidden="false" outlineLevel="0" max="6" min="6" style="1" width="20"/>
    <col collapsed="false" customWidth="true" hidden="false" outlineLevel="0" max="7" min="7" style="1" width="14"/>
    <col collapsed="false" customWidth="true" hidden="false" outlineLevel="0" max="8" min="8" style="1" width="18"/>
    <col collapsed="false" customWidth="true" hidden="false" outlineLevel="0" max="9" min="9" style="1" width="40"/>
  </cols>
  <sheetData>
    <row r="1" customFormat="false" ht="27.75" hidden="false" customHeight="true" outlineLevel="0" collapsed="false">
      <c r="A1" s="8" t="s">
        <v>1219</v>
      </c>
      <c r="B1" s="8"/>
      <c r="C1" s="8"/>
      <c r="D1" s="8"/>
      <c r="E1" s="8"/>
      <c r="F1" s="8"/>
      <c r="G1" s="8"/>
      <c r="H1" s="8"/>
      <c r="I1" s="8"/>
    </row>
    <row r="2" customFormat="false" ht="36" hidden="false" customHeight="true" outlineLevel="0" collapsed="false">
      <c r="A2" s="139" t="s">
        <v>1220</v>
      </c>
      <c r="B2" s="139"/>
      <c r="C2" s="139"/>
      <c r="D2" s="139"/>
      <c r="E2" s="139"/>
      <c r="F2" s="139"/>
      <c r="G2" s="139"/>
      <c r="H2" s="139"/>
      <c r="I2" s="139"/>
    </row>
    <row r="3" customFormat="false" ht="21.75" hidden="false" customHeight="true" outlineLevel="0" collapsed="false">
      <c r="A3" s="78" t="s">
        <v>1221</v>
      </c>
      <c r="B3" s="78"/>
      <c r="C3" s="78"/>
      <c r="D3" s="78"/>
      <c r="E3" s="78"/>
      <c r="F3" s="78"/>
      <c r="G3" s="78"/>
      <c r="H3" s="78"/>
      <c r="I3" s="78"/>
    </row>
    <row r="4" customFormat="false" ht="21.75" hidden="false" customHeight="true" outlineLevel="0" collapsed="false">
      <c r="A4" s="3" t="s">
        <v>1222</v>
      </c>
      <c r="B4" s="3" t="s">
        <v>1223</v>
      </c>
      <c r="C4" s="3" t="s">
        <v>1224</v>
      </c>
      <c r="D4" s="3" t="s">
        <v>1225</v>
      </c>
      <c r="E4" s="3" t="s">
        <v>1226</v>
      </c>
      <c r="F4" s="3" t="s">
        <v>1227</v>
      </c>
      <c r="G4" s="3" t="s">
        <v>1228</v>
      </c>
      <c r="H4" s="3" t="s">
        <v>1229</v>
      </c>
      <c r="I4" s="3" t="s">
        <v>1230</v>
      </c>
    </row>
    <row r="5" customFormat="false" ht="60" hidden="false" customHeight="true" outlineLevel="0" collapsed="false">
      <c r="A5" s="140" t="s">
        <v>1231</v>
      </c>
      <c r="B5" s="11" t="s">
        <v>971</v>
      </c>
      <c r="C5" s="86" t="s">
        <v>1232</v>
      </c>
      <c r="D5" s="86" t="s">
        <v>1233</v>
      </c>
      <c r="E5" s="86" t="s">
        <v>1234</v>
      </c>
      <c r="F5" s="86" t="s">
        <v>1235</v>
      </c>
      <c r="G5" s="86" t="s">
        <v>1236</v>
      </c>
      <c r="H5" s="11" t="s">
        <v>1237</v>
      </c>
      <c r="I5" s="140" t="s">
        <v>1238</v>
      </c>
    </row>
    <row r="6" customFormat="false" ht="60" hidden="false" customHeight="true" outlineLevel="0" collapsed="false">
      <c r="A6" s="141" t="s">
        <v>1239</v>
      </c>
      <c r="B6" s="20" t="s">
        <v>1015</v>
      </c>
      <c r="C6" s="88" t="s">
        <v>1240</v>
      </c>
      <c r="D6" s="88" t="s">
        <v>1241</v>
      </c>
      <c r="E6" s="88" t="s">
        <v>1242</v>
      </c>
      <c r="F6" s="88" t="s">
        <v>1243</v>
      </c>
      <c r="G6" s="88" t="s">
        <v>1244</v>
      </c>
      <c r="H6" s="20" t="s">
        <v>1245</v>
      </c>
      <c r="I6" s="141" t="s">
        <v>1246</v>
      </c>
    </row>
    <row r="7" customFormat="false" ht="60" hidden="false" customHeight="true" outlineLevel="0" collapsed="false">
      <c r="A7" s="142" t="s">
        <v>1247</v>
      </c>
      <c r="B7" s="27" t="s">
        <v>1051</v>
      </c>
      <c r="C7" s="90" t="s">
        <v>1248</v>
      </c>
      <c r="D7" s="90" t="s">
        <v>1249</v>
      </c>
      <c r="E7" s="90" t="s">
        <v>1250</v>
      </c>
      <c r="F7" s="90" t="s">
        <v>1251</v>
      </c>
      <c r="G7" s="90" t="s">
        <v>1252</v>
      </c>
      <c r="H7" s="27" t="s">
        <v>1253</v>
      </c>
      <c r="I7" s="142" t="s">
        <v>1254</v>
      </c>
    </row>
    <row r="8" customFormat="false" ht="60" hidden="false" customHeight="true" outlineLevel="0" collapsed="false">
      <c r="A8" s="143" t="s">
        <v>1255</v>
      </c>
      <c r="B8" s="115" t="s">
        <v>1168</v>
      </c>
      <c r="C8" s="6" t="s">
        <v>1256</v>
      </c>
      <c r="D8" s="6" t="s">
        <v>1257</v>
      </c>
      <c r="E8" s="6" t="s">
        <v>1258</v>
      </c>
      <c r="F8" s="6" t="s">
        <v>1259</v>
      </c>
      <c r="G8" s="6" t="s">
        <v>1260</v>
      </c>
      <c r="H8" s="115" t="s">
        <v>1261</v>
      </c>
      <c r="I8" s="143" t="s">
        <v>1262</v>
      </c>
    </row>
    <row r="9" customFormat="false" ht="60" hidden="false" customHeight="true" outlineLevel="0" collapsed="false">
      <c r="A9" s="144" t="s">
        <v>1263</v>
      </c>
      <c r="B9" s="124" t="s">
        <v>1105</v>
      </c>
      <c r="C9" s="126" t="s">
        <v>1264</v>
      </c>
      <c r="D9" s="126" t="s">
        <v>1265</v>
      </c>
      <c r="E9" s="126" t="s">
        <v>1266</v>
      </c>
      <c r="F9" s="126" t="s">
        <v>1259</v>
      </c>
      <c r="G9" s="126" t="s">
        <v>1267</v>
      </c>
      <c r="H9" s="124" t="s">
        <v>1268</v>
      </c>
      <c r="I9" s="144" t="s">
        <v>1269</v>
      </c>
    </row>
    <row r="11" customFormat="false" ht="21.75" hidden="false" customHeight="true" outlineLevel="0" collapsed="false">
      <c r="A11" s="78" t="s">
        <v>1270</v>
      </c>
      <c r="B11" s="78"/>
      <c r="C11" s="78"/>
      <c r="D11" s="78"/>
      <c r="E11" s="78"/>
      <c r="F11" s="78"/>
      <c r="G11" s="78"/>
      <c r="H11" s="78"/>
      <c r="I11" s="78"/>
    </row>
    <row r="12" customFormat="false" ht="21.75" hidden="false" customHeight="true" outlineLevel="0" collapsed="false">
      <c r="A12" s="3" t="s">
        <v>1271</v>
      </c>
      <c r="B12" s="3" t="s">
        <v>1272</v>
      </c>
      <c r="C12" s="3" t="s">
        <v>1273</v>
      </c>
      <c r="D12" s="3" t="s">
        <v>1274</v>
      </c>
      <c r="E12" s="3" t="s">
        <v>1275</v>
      </c>
      <c r="F12" s="3" t="s">
        <v>1276</v>
      </c>
      <c r="G12" s="3" t="s">
        <v>1277</v>
      </c>
      <c r="H12" s="3" t="s">
        <v>3</v>
      </c>
      <c r="I12" s="3" t="s">
        <v>140</v>
      </c>
    </row>
    <row r="13" customFormat="false" ht="31.5" hidden="false" customHeight="true" outlineLevel="0" collapsed="false">
      <c r="A13" s="11" t="s">
        <v>1278</v>
      </c>
      <c r="B13" s="15" t="s">
        <v>1279</v>
      </c>
      <c r="C13" s="15" t="s">
        <v>1280</v>
      </c>
      <c r="D13" s="15" t="s">
        <v>1281</v>
      </c>
      <c r="E13" s="86" t="s">
        <v>1282</v>
      </c>
      <c r="F13" s="145" t="s">
        <v>1283</v>
      </c>
      <c r="G13" s="15" t="s">
        <v>1284</v>
      </c>
      <c r="H13" s="41" t="s">
        <v>1285</v>
      </c>
      <c r="I13" s="86" t="s">
        <v>1286</v>
      </c>
    </row>
    <row r="14" customFormat="false" ht="31.5" hidden="false" customHeight="true" outlineLevel="0" collapsed="false">
      <c r="A14" s="124" t="s">
        <v>1287</v>
      </c>
      <c r="B14" s="125" t="s">
        <v>1279</v>
      </c>
      <c r="C14" s="125" t="s">
        <v>1288</v>
      </c>
      <c r="D14" s="125" t="s">
        <v>1289</v>
      </c>
      <c r="E14" s="126" t="s">
        <v>1290</v>
      </c>
      <c r="F14" s="145" t="s">
        <v>1291</v>
      </c>
      <c r="G14" s="125" t="s">
        <v>1292</v>
      </c>
      <c r="H14" s="41" t="s">
        <v>47</v>
      </c>
      <c r="I14" s="126" t="s">
        <v>1293</v>
      </c>
    </row>
    <row r="15" customFormat="false" ht="31.5" hidden="false" customHeight="true" outlineLevel="0" collapsed="false">
      <c r="A15" s="20" t="s">
        <v>1294</v>
      </c>
      <c r="B15" s="12" t="s">
        <v>1279</v>
      </c>
      <c r="C15" s="12" t="s">
        <v>1295</v>
      </c>
      <c r="D15" s="12" t="s">
        <v>983</v>
      </c>
      <c r="E15" s="88" t="s">
        <v>1296</v>
      </c>
      <c r="F15" s="145" t="s">
        <v>1297</v>
      </c>
      <c r="G15" s="12" t="s">
        <v>1284</v>
      </c>
      <c r="H15" s="41" t="s">
        <v>975</v>
      </c>
      <c r="I15" s="88" t="s">
        <v>1298</v>
      </c>
    </row>
    <row r="16" customFormat="false" ht="31.5" hidden="false" customHeight="true" outlineLevel="0" collapsed="false">
      <c r="A16" s="127" t="s">
        <v>1299</v>
      </c>
      <c r="B16" s="122" t="s">
        <v>1300</v>
      </c>
      <c r="C16" s="122" t="s">
        <v>1280</v>
      </c>
      <c r="D16" s="122" t="s">
        <v>1301</v>
      </c>
      <c r="E16" s="130" t="s">
        <v>1302</v>
      </c>
      <c r="F16" s="145" t="s">
        <v>1303</v>
      </c>
      <c r="G16" s="122" t="s">
        <v>1284</v>
      </c>
      <c r="H16" s="41" t="s">
        <v>975</v>
      </c>
      <c r="I16" s="130" t="s">
        <v>1304</v>
      </c>
    </row>
    <row r="17" customFormat="false" ht="31.5" hidden="false" customHeight="true" outlineLevel="0" collapsed="false">
      <c r="A17" s="11" t="s">
        <v>1305</v>
      </c>
      <c r="B17" s="15" t="s">
        <v>1295</v>
      </c>
      <c r="C17" s="15" t="s">
        <v>1280</v>
      </c>
      <c r="D17" s="15" t="s">
        <v>970</v>
      </c>
      <c r="E17" s="86" t="s">
        <v>1306</v>
      </c>
      <c r="F17" s="145" t="s">
        <v>1307</v>
      </c>
      <c r="G17" s="15" t="s">
        <v>1284</v>
      </c>
      <c r="H17" s="41" t="s">
        <v>975</v>
      </c>
      <c r="I17" s="86" t="s">
        <v>1308</v>
      </c>
    </row>
    <row r="18" customFormat="false" ht="31.5" hidden="false" customHeight="true" outlineLevel="0" collapsed="false">
      <c r="A18" s="11" t="s">
        <v>1309</v>
      </c>
      <c r="B18" s="15" t="s">
        <v>1280</v>
      </c>
      <c r="C18" s="15" t="s">
        <v>1310</v>
      </c>
      <c r="D18" s="15" t="s">
        <v>1311</v>
      </c>
      <c r="E18" s="86" t="s">
        <v>1312</v>
      </c>
      <c r="F18" s="145" t="s">
        <v>1283</v>
      </c>
      <c r="G18" s="15" t="s">
        <v>1284</v>
      </c>
      <c r="H18" s="41" t="s">
        <v>975</v>
      </c>
      <c r="I18" s="86" t="s">
        <v>1313</v>
      </c>
    </row>
    <row r="19" customFormat="false" ht="31.5" hidden="false" customHeight="true" outlineLevel="0" collapsed="false">
      <c r="A19" s="11" t="s">
        <v>1314</v>
      </c>
      <c r="B19" s="15" t="s">
        <v>1310</v>
      </c>
      <c r="C19" s="15" t="s">
        <v>520</v>
      </c>
      <c r="D19" s="15" t="s">
        <v>970</v>
      </c>
      <c r="E19" s="86" t="s">
        <v>1315</v>
      </c>
      <c r="F19" s="145" t="s">
        <v>1307</v>
      </c>
      <c r="G19" s="15" t="s">
        <v>1284</v>
      </c>
      <c r="H19" s="41" t="s">
        <v>1316</v>
      </c>
      <c r="I19" s="86" t="s">
        <v>1317</v>
      </c>
    </row>
    <row r="20" customFormat="false" ht="31.5" hidden="false" customHeight="true" outlineLevel="0" collapsed="false">
      <c r="A20" s="20" t="s">
        <v>1318</v>
      </c>
      <c r="B20" s="12" t="s">
        <v>1280</v>
      </c>
      <c r="C20" s="12" t="s">
        <v>1319</v>
      </c>
      <c r="D20" s="12" t="s">
        <v>983</v>
      </c>
      <c r="E20" s="88" t="s">
        <v>1320</v>
      </c>
      <c r="F20" s="145" t="s">
        <v>1321</v>
      </c>
      <c r="G20" s="12" t="s">
        <v>1284</v>
      </c>
      <c r="H20" s="41" t="s">
        <v>975</v>
      </c>
      <c r="I20" s="88" t="s">
        <v>1322</v>
      </c>
    </row>
    <row r="21" customFormat="false" ht="31.5" hidden="false" customHeight="true" outlineLevel="0" collapsed="false">
      <c r="A21" s="127" t="s">
        <v>1323</v>
      </c>
      <c r="B21" s="122" t="s">
        <v>1324</v>
      </c>
      <c r="C21" s="122" t="s">
        <v>496</v>
      </c>
      <c r="D21" s="122" t="s">
        <v>996</v>
      </c>
      <c r="E21" s="130" t="s">
        <v>1325</v>
      </c>
      <c r="F21" s="145" t="s">
        <v>1326</v>
      </c>
      <c r="G21" s="122" t="s">
        <v>1284</v>
      </c>
      <c r="H21" s="41" t="s">
        <v>1316</v>
      </c>
      <c r="I21" s="130" t="s">
        <v>1327</v>
      </c>
    </row>
  </sheetData>
  <mergeCells count="4">
    <mergeCell ref="A1:I1"/>
    <mergeCell ref="A2:I2"/>
    <mergeCell ref="A3:I3"/>
    <mergeCell ref="A11: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4"/>
    <col collapsed="false" customWidth="true" hidden="false" outlineLevel="0" max="3" min="3" style="1" width="12"/>
    <col collapsed="false" customWidth="true" hidden="false" outlineLevel="0" max="6" min="4" style="1" width="18"/>
    <col collapsed="false" customWidth="true" hidden="false" outlineLevel="0" max="8" min="7" style="1" width="14"/>
    <col collapsed="false" customWidth="true" hidden="false" outlineLevel="0" max="9" min="9" style="1" width="38"/>
    <col collapsed="false" customWidth="true" hidden="false" outlineLevel="0" max="10" min="10" style="1" width="18"/>
    <col collapsed="false" customWidth="true" hidden="false" outlineLevel="0" max="11" min="11" style="1" width="32"/>
  </cols>
  <sheetData>
    <row r="1" customFormat="false" ht="27.75" hidden="false" customHeight="true" outlineLevel="0" collapsed="false">
      <c r="A1" s="8" t="s">
        <v>1328</v>
      </c>
      <c r="B1" s="8"/>
      <c r="C1" s="8"/>
      <c r="D1" s="8"/>
      <c r="E1" s="8"/>
      <c r="F1" s="8"/>
      <c r="G1" s="8"/>
      <c r="H1" s="8"/>
      <c r="I1" s="8"/>
      <c r="J1" s="8"/>
      <c r="K1" s="8"/>
    </row>
    <row r="2" customFormat="false" ht="36" hidden="false" customHeight="true" outlineLevel="0" collapsed="false">
      <c r="A2" s="121" t="s">
        <v>1329</v>
      </c>
      <c r="B2" s="121"/>
      <c r="C2" s="121"/>
      <c r="D2" s="121"/>
      <c r="E2" s="121"/>
      <c r="F2" s="121"/>
      <c r="G2" s="121"/>
      <c r="H2" s="121"/>
      <c r="I2" s="121"/>
      <c r="J2" s="121"/>
      <c r="K2" s="121"/>
    </row>
    <row r="3" customFormat="false" ht="21.75" hidden="false" customHeight="true" outlineLevel="0" collapsed="false">
      <c r="A3" s="78" t="s">
        <v>1330</v>
      </c>
      <c r="B3" s="78"/>
      <c r="C3" s="78"/>
      <c r="D3" s="78"/>
      <c r="E3" s="78"/>
      <c r="F3" s="78"/>
      <c r="G3" s="78"/>
      <c r="H3" s="78"/>
      <c r="I3" s="78"/>
      <c r="J3" s="78"/>
      <c r="K3" s="78"/>
    </row>
    <row r="4" customFormat="false" ht="42" hidden="false" customHeight="true" outlineLevel="0" collapsed="false">
      <c r="A4" s="3" t="s">
        <v>132</v>
      </c>
      <c r="B4" s="3" t="s">
        <v>1331</v>
      </c>
      <c r="C4" s="3" t="s">
        <v>654</v>
      </c>
      <c r="D4" s="3" t="s">
        <v>1332</v>
      </c>
      <c r="E4" s="3" t="s">
        <v>1333</v>
      </c>
      <c r="F4" s="3" t="s">
        <v>1334</v>
      </c>
      <c r="G4" s="3" t="s">
        <v>1335</v>
      </c>
      <c r="H4" s="3" t="s">
        <v>1336</v>
      </c>
      <c r="I4" s="3" t="s">
        <v>1337</v>
      </c>
      <c r="J4" s="3" t="s">
        <v>655</v>
      </c>
      <c r="K4" s="3" t="s">
        <v>3</v>
      </c>
    </row>
    <row r="5" customFormat="false" ht="15" hidden="false" customHeight="true" outlineLevel="0" collapsed="false">
      <c r="A5" s="40" t="n">
        <v>1</v>
      </c>
      <c r="B5" s="11" t="s">
        <v>1338</v>
      </c>
      <c r="C5" s="15" t="s">
        <v>1339</v>
      </c>
      <c r="D5" s="66" t="n">
        <v>2500</v>
      </c>
      <c r="E5" s="66" t="n">
        <v>2400</v>
      </c>
      <c r="F5" s="146" t="n">
        <v>9</v>
      </c>
      <c r="G5" s="147" t="n">
        <v>85</v>
      </c>
      <c r="H5" s="146" t="n">
        <v>5.5</v>
      </c>
      <c r="I5" s="15" t="n">
        <v>55</v>
      </c>
      <c r="J5" s="15" t="s">
        <v>662</v>
      </c>
      <c r="K5" s="41" t="s">
        <v>1340</v>
      </c>
    </row>
    <row r="6" customFormat="false" ht="32.25" hidden="false" customHeight="true" outlineLevel="0" collapsed="false">
      <c r="A6" s="40" t="n">
        <v>2</v>
      </c>
      <c r="B6" s="11" t="s">
        <v>1338</v>
      </c>
      <c r="C6" s="15" t="s">
        <v>1341</v>
      </c>
      <c r="D6" s="66" t="n">
        <v>2450</v>
      </c>
      <c r="E6" s="66" t="n">
        <v>2380</v>
      </c>
      <c r="F6" s="146" t="n">
        <v>9</v>
      </c>
      <c r="G6" s="147" t="n">
        <v>85</v>
      </c>
      <c r="H6" s="146" t="n">
        <v>5</v>
      </c>
      <c r="I6" s="15" t="n">
        <v>55</v>
      </c>
      <c r="J6" s="15" t="s">
        <v>662</v>
      </c>
      <c r="K6" s="41" t="s">
        <v>1340</v>
      </c>
    </row>
    <row r="7" customFormat="false" ht="15" hidden="false" customHeight="true" outlineLevel="0" collapsed="false">
      <c r="A7" s="40" t="n">
        <v>3</v>
      </c>
      <c r="B7" s="11" t="s">
        <v>1338</v>
      </c>
      <c r="C7" s="15" t="s">
        <v>1342</v>
      </c>
      <c r="D7" s="66" t="n">
        <v>2425</v>
      </c>
      <c r="E7" s="66" t="n">
        <v>2360</v>
      </c>
      <c r="F7" s="146" t="n">
        <v>8.5</v>
      </c>
      <c r="G7" s="147" t="n">
        <v>85</v>
      </c>
      <c r="H7" s="146" t="n">
        <v>4.5</v>
      </c>
      <c r="I7" s="15" t="n">
        <v>55</v>
      </c>
      <c r="J7" s="15" t="s">
        <v>662</v>
      </c>
      <c r="K7" s="41" t="s">
        <v>1340</v>
      </c>
    </row>
    <row r="8" customFormat="false" ht="15" hidden="false" customHeight="true" outlineLevel="0" collapsed="false">
      <c r="A8" s="40" t="n">
        <v>4</v>
      </c>
      <c r="B8" s="11" t="s">
        <v>1338</v>
      </c>
      <c r="C8" s="15" t="s">
        <v>1343</v>
      </c>
      <c r="D8" s="66" t="n">
        <v>2375</v>
      </c>
      <c r="E8" s="66" t="n">
        <v>2310</v>
      </c>
      <c r="F8" s="146" t="n">
        <v>8.5</v>
      </c>
      <c r="G8" s="147" t="n">
        <v>85</v>
      </c>
      <c r="H8" s="146" t="n">
        <v>4</v>
      </c>
      <c r="I8" s="15" t="n">
        <v>55</v>
      </c>
      <c r="J8" s="15" t="s">
        <v>662</v>
      </c>
      <c r="K8" s="41" t="s">
        <v>1340</v>
      </c>
    </row>
    <row r="9" customFormat="false" ht="15" hidden="false" customHeight="true" outlineLevel="0" collapsed="false">
      <c r="A9" s="40" t="n">
        <v>5</v>
      </c>
      <c r="B9" s="11" t="s">
        <v>1344</v>
      </c>
      <c r="C9" s="15" t="s">
        <v>1345</v>
      </c>
      <c r="D9" s="66" t="n">
        <v>2340</v>
      </c>
      <c r="E9" s="66" t="n">
        <v>2270</v>
      </c>
      <c r="F9" s="146" t="n">
        <v>8</v>
      </c>
      <c r="G9" s="147" t="n">
        <v>85</v>
      </c>
      <c r="H9" s="146" t="n">
        <v>3.5</v>
      </c>
      <c r="I9" s="15" t="n">
        <v>40</v>
      </c>
      <c r="J9" s="15" t="s">
        <v>669</v>
      </c>
      <c r="K9" s="41" t="s">
        <v>1340</v>
      </c>
    </row>
    <row r="10" customFormat="false" ht="15" hidden="false" customHeight="true" outlineLevel="0" collapsed="false">
      <c r="A10" s="40" t="n">
        <v>6</v>
      </c>
      <c r="B10" s="11" t="s">
        <v>1344</v>
      </c>
      <c r="C10" s="15" t="s">
        <v>1346</v>
      </c>
      <c r="D10" s="66" t="n">
        <v>2300</v>
      </c>
      <c r="E10" s="66" t="n">
        <v>2250</v>
      </c>
      <c r="F10" s="146" t="n">
        <v>7.5</v>
      </c>
      <c r="G10" s="147" t="n">
        <v>85</v>
      </c>
      <c r="H10" s="146" t="n">
        <v>3</v>
      </c>
      <c r="I10" s="15" t="n">
        <v>40</v>
      </c>
      <c r="J10" s="15" t="s">
        <v>669</v>
      </c>
      <c r="K10" s="41" t="s">
        <v>1340</v>
      </c>
    </row>
    <row r="11" customFormat="false" ht="15" hidden="false" customHeight="true" outlineLevel="0" collapsed="false">
      <c r="A11" s="40" t="n">
        <v>7</v>
      </c>
      <c r="B11" s="25" t="s">
        <v>1347</v>
      </c>
      <c r="C11" s="26" t="s">
        <v>1348</v>
      </c>
      <c r="D11" s="148" t="n">
        <v>2850</v>
      </c>
      <c r="E11" s="148" t="n">
        <v>2750</v>
      </c>
      <c r="F11" s="149" t="n">
        <v>10</v>
      </c>
      <c r="G11" s="150" t="n">
        <v>80</v>
      </c>
      <c r="H11" s="149" t="n">
        <v>6</v>
      </c>
      <c r="I11" s="26" t="n">
        <v>55</v>
      </c>
      <c r="J11" s="26" t="s">
        <v>1349</v>
      </c>
      <c r="K11" s="41" t="s">
        <v>1340</v>
      </c>
    </row>
    <row r="12" customFormat="false" ht="21.75" hidden="false" customHeight="true" outlineLevel="0" collapsed="false">
      <c r="A12" s="40" t="n">
        <v>8</v>
      </c>
      <c r="B12" s="20" t="s">
        <v>1350</v>
      </c>
      <c r="C12" s="12" t="s">
        <v>1351</v>
      </c>
      <c r="D12" s="68" t="n">
        <v>1900</v>
      </c>
      <c r="E12" s="68" t="n">
        <v>1850</v>
      </c>
      <c r="F12" s="151" t="n">
        <v>3.5</v>
      </c>
      <c r="G12" s="152" t="n">
        <v>80</v>
      </c>
      <c r="H12" s="151" t="n">
        <v>4</v>
      </c>
      <c r="I12" s="12" t="n">
        <v>30</v>
      </c>
      <c r="J12" s="12" t="s">
        <v>681</v>
      </c>
      <c r="K12" s="41" t="s">
        <v>1340</v>
      </c>
    </row>
    <row r="13" customFormat="false" ht="21.75" hidden="false" customHeight="true" outlineLevel="0" collapsed="false">
      <c r="A13" s="40" t="n">
        <v>9</v>
      </c>
      <c r="B13" s="20" t="s">
        <v>1350</v>
      </c>
      <c r="C13" s="12" t="s">
        <v>1352</v>
      </c>
      <c r="D13" s="153" t="s">
        <v>1353</v>
      </c>
      <c r="E13" s="68" t="n">
        <v>1850</v>
      </c>
      <c r="F13" s="151" t="n">
        <v>3.5</v>
      </c>
      <c r="G13" s="152" t="n">
        <v>80</v>
      </c>
      <c r="H13" s="151" t="n">
        <v>4</v>
      </c>
      <c r="I13" s="12" t="n">
        <v>30</v>
      </c>
      <c r="J13" s="12" t="s">
        <v>681</v>
      </c>
      <c r="K13" s="41" t="s">
        <v>1340</v>
      </c>
    </row>
    <row r="14" customFormat="false" ht="15" hidden="false" customHeight="true" outlineLevel="0" collapsed="false">
      <c r="A14" s="40" t="n">
        <v>10</v>
      </c>
      <c r="B14" s="20" t="s">
        <v>1354</v>
      </c>
      <c r="C14" s="12" t="s">
        <v>1355</v>
      </c>
      <c r="D14" s="68" t="n">
        <v>2800</v>
      </c>
      <c r="E14" s="68" t="n">
        <v>2700</v>
      </c>
      <c r="F14" s="151" t="n">
        <v>3</v>
      </c>
      <c r="G14" s="152" t="n">
        <v>70</v>
      </c>
      <c r="H14" s="151" t="n">
        <v>6</v>
      </c>
      <c r="I14" s="12" t="n">
        <v>20</v>
      </c>
      <c r="J14" s="12" t="s">
        <v>687</v>
      </c>
      <c r="K14" s="41" t="s">
        <v>1340</v>
      </c>
    </row>
    <row r="15" customFormat="false" ht="15" hidden="false" customHeight="true" outlineLevel="0" collapsed="false">
      <c r="A15" s="40" t="n">
        <v>11</v>
      </c>
      <c r="B15" s="17" t="s">
        <v>1356</v>
      </c>
      <c r="C15" s="19" t="s">
        <v>1357</v>
      </c>
      <c r="D15" s="154" t="s">
        <v>287</v>
      </c>
      <c r="E15" s="154" t="s">
        <v>287</v>
      </c>
      <c r="F15" s="155" t="n">
        <v>7</v>
      </c>
      <c r="G15" s="156" t="n">
        <v>90</v>
      </c>
      <c r="H15" s="155" t="n">
        <v>2</v>
      </c>
      <c r="I15" s="19" t="s">
        <v>1358</v>
      </c>
      <c r="J15" s="19" t="s">
        <v>193</v>
      </c>
      <c r="K15" s="41" t="s">
        <v>1359</v>
      </c>
    </row>
    <row r="16" customFormat="false" ht="15" hidden="false" customHeight="true" outlineLevel="0" collapsed="false">
      <c r="A16" s="40" t="n">
        <v>12</v>
      </c>
      <c r="B16" s="17" t="s">
        <v>1356</v>
      </c>
      <c r="C16" s="19" t="s">
        <v>1360</v>
      </c>
      <c r="D16" s="154" t="s">
        <v>287</v>
      </c>
      <c r="E16" s="154" t="s">
        <v>287</v>
      </c>
      <c r="F16" s="155" t="n">
        <v>6.5</v>
      </c>
      <c r="G16" s="156" t="n">
        <v>90</v>
      </c>
      <c r="H16" s="155" t="n">
        <v>2</v>
      </c>
      <c r="I16" s="19" t="s">
        <v>1358</v>
      </c>
      <c r="J16" s="19" t="s">
        <v>193</v>
      </c>
      <c r="K16" s="41" t="s">
        <v>1359</v>
      </c>
    </row>
    <row r="18" customFormat="false" ht="21.75" hidden="false" customHeight="true" outlineLevel="0" collapsed="false">
      <c r="A18" s="78" t="s">
        <v>1361</v>
      </c>
      <c r="B18" s="78"/>
      <c r="C18" s="78"/>
      <c r="D18" s="78"/>
      <c r="E18" s="78"/>
      <c r="F18" s="78"/>
      <c r="G18" s="78"/>
      <c r="H18" s="78"/>
      <c r="I18" s="78"/>
      <c r="J18" s="78"/>
      <c r="K18" s="78"/>
    </row>
    <row r="19" customFormat="false" ht="21.75" hidden="false" customHeight="true" outlineLevel="0" collapsed="false">
      <c r="A19" s="3" t="s">
        <v>132</v>
      </c>
      <c r="B19" s="3" t="s">
        <v>655</v>
      </c>
      <c r="C19" s="3" t="s">
        <v>263</v>
      </c>
      <c r="D19" s="3" t="s">
        <v>1362</v>
      </c>
      <c r="E19" s="3" t="s">
        <v>1363</v>
      </c>
      <c r="F19" s="3" t="s">
        <v>1364</v>
      </c>
      <c r="G19" s="3" t="s">
        <v>1365</v>
      </c>
      <c r="H19" s="3" t="s">
        <v>1366</v>
      </c>
      <c r="I19" s="3" t="s">
        <v>1367</v>
      </c>
      <c r="J19" s="3" t="s">
        <v>3</v>
      </c>
      <c r="K19" s="3" t="s">
        <v>6</v>
      </c>
    </row>
    <row r="20" customFormat="false" ht="31.5" hidden="false" customHeight="true" outlineLevel="0" collapsed="false">
      <c r="A20" s="40" t="n">
        <v>1</v>
      </c>
      <c r="B20" s="11" t="s">
        <v>1368</v>
      </c>
      <c r="C20" s="15" t="s">
        <v>148</v>
      </c>
      <c r="D20" s="135" t="n">
        <v>6</v>
      </c>
      <c r="E20" s="135" t="n">
        <v>4</v>
      </c>
      <c r="F20" s="15" t="n">
        <v>8</v>
      </c>
      <c r="G20" s="15" t="n">
        <v>4</v>
      </c>
      <c r="H20" s="15" t="n">
        <v>2</v>
      </c>
      <c r="I20" s="86" t="s">
        <v>1369</v>
      </c>
      <c r="J20" s="41" t="s">
        <v>1370</v>
      </c>
      <c r="K20" s="86" t="s">
        <v>1371</v>
      </c>
    </row>
    <row r="21" customFormat="false" ht="31.5" hidden="false" customHeight="true" outlineLevel="0" collapsed="false">
      <c r="A21" s="40" t="n">
        <v>2</v>
      </c>
      <c r="B21" s="11" t="s">
        <v>1372</v>
      </c>
      <c r="C21" s="15" t="s">
        <v>148</v>
      </c>
      <c r="D21" s="135" t="n">
        <v>8</v>
      </c>
      <c r="E21" s="135" t="n">
        <v>6</v>
      </c>
      <c r="F21" s="15" t="n">
        <v>10</v>
      </c>
      <c r="G21" s="15" t="n">
        <v>5</v>
      </c>
      <c r="H21" s="15" t="n">
        <v>2.5</v>
      </c>
      <c r="I21" s="86" t="s">
        <v>1373</v>
      </c>
      <c r="J21" s="41" t="s">
        <v>1370</v>
      </c>
      <c r="K21" s="86" t="s">
        <v>1374</v>
      </c>
    </row>
    <row r="22" customFormat="false" ht="31.5" hidden="false" customHeight="true" outlineLevel="0" collapsed="false">
      <c r="A22" s="40" t="n">
        <v>3</v>
      </c>
      <c r="B22" s="25" t="s">
        <v>1375</v>
      </c>
      <c r="C22" s="26" t="s">
        <v>170</v>
      </c>
      <c r="D22" s="157" t="n">
        <v>6</v>
      </c>
      <c r="E22" s="157" t="n">
        <v>4</v>
      </c>
      <c r="F22" s="26" t="n">
        <v>10</v>
      </c>
      <c r="G22" s="26" t="n">
        <v>5</v>
      </c>
      <c r="H22" s="26" t="n">
        <v>3</v>
      </c>
      <c r="I22" s="158" t="s">
        <v>1376</v>
      </c>
      <c r="J22" s="41" t="s">
        <v>1377</v>
      </c>
      <c r="K22" s="158" t="s">
        <v>1378</v>
      </c>
    </row>
    <row r="23" customFormat="false" ht="31.5" hidden="false" customHeight="true" outlineLevel="0" collapsed="false">
      <c r="A23" s="40" t="n">
        <v>4</v>
      </c>
      <c r="B23" s="20" t="s">
        <v>1379</v>
      </c>
      <c r="C23" s="12" t="s">
        <v>144</v>
      </c>
      <c r="D23" s="137" t="n">
        <v>2</v>
      </c>
      <c r="E23" s="137" t="n">
        <v>2</v>
      </c>
      <c r="F23" s="12" t="n">
        <v>4</v>
      </c>
      <c r="G23" s="12" t="n">
        <v>1.5</v>
      </c>
      <c r="H23" s="12" t="n">
        <v>0.5</v>
      </c>
      <c r="I23" s="88" t="s">
        <v>1380</v>
      </c>
      <c r="J23" s="41" t="s">
        <v>1381</v>
      </c>
      <c r="K23" s="88" t="s">
        <v>1382</v>
      </c>
    </row>
    <row r="24" customFormat="false" ht="31.5" hidden="false" customHeight="true" outlineLevel="0" collapsed="false">
      <c r="A24" s="40" t="n">
        <v>5</v>
      </c>
      <c r="B24" s="20" t="s">
        <v>1383</v>
      </c>
      <c r="C24" s="12" t="s">
        <v>144</v>
      </c>
      <c r="D24" s="159" t="n">
        <v>0.5</v>
      </c>
      <c r="E24" s="159" t="n">
        <v>0.5</v>
      </c>
      <c r="F24" s="12" t="n">
        <v>1</v>
      </c>
      <c r="G24" s="12" t="n">
        <v>0.5</v>
      </c>
      <c r="H24" s="12" t="n">
        <v>0.25</v>
      </c>
      <c r="I24" s="88" t="s">
        <v>1384</v>
      </c>
      <c r="J24" s="41" t="s">
        <v>1385</v>
      </c>
      <c r="K24" s="88" t="s">
        <v>1386</v>
      </c>
    </row>
    <row r="25" customFormat="false" ht="31.5" hidden="false" customHeight="true" outlineLevel="0" collapsed="false">
      <c r="A25" s="40" t="n">
        <v>6</v>
      </c>
      <c r="B25" s="17" t="s">
        <v>1387</v>
      </c>
      <c r="C25" s="19" t="s">
        <v>193</v>
      </c>
      <c r="D25" s="160" t="n">
        <v>72</v>
      </c>
      <c r="E25" s="160" t="n">
        <v>72</v>
      </c>
      <c r="F25" s="19" t="s">
        <v>287</v>
      </c>
      <c r="G25" s="19" t="s">
        <v>287</v>
      </c>
      <c r="H25" s="19" t="s">
        <v>287</v>
      </c>
      <c r="I25" s="123" t="s">
        <v>1388</v>
      </c>
      <c r="J25" s="41" t="s">
        <v>194</v>
      </c>
      <c r="K25" s="123" t="s">
        <v>1389</v>
      </c>
    </row>
    <row r="26" customFormat="false" ht="31.5" hidden="false" customHeight="true" outlineLevel="0" collapsed="false">
      <c r="A26" s="40" t="n">
        <v>7</v>
      </c>
      <c r="B26" s="27" t="s">
        <v>1390</v>
      </c>
      <c r="C26" s="16" t="s">
        <v>161</v>
      </c>
      <c r="D26" s="161" t="n">
        <v>0.1</v>
      </c>
      <c r="E26" s="161" t="n">
        <v>0.1</v>
      </c>
      <c r="F26" s="16" t="n">
        <v>0.5</v>
      </c>
      <c r="G26" s="16" t="n">
        <v>0.1</v>
      </c>
      <c r="H26" s="16" t="n">
        <v>0.05</v>
      </c>
      <c r="I26" s="90" t="s">
        <v>1391</v>
      </c>
      <c r="J26" s="41" t="s">
        <v>1385</v>
      </c>
      <c r="K26" s="90" t="s">
        <v>1392</v>
      </c>
    </row>
  </sheetData>
  <mergeCells count="4">
    <mergeCell ref="A1:K1"/>
    <mergeCell ref="A2:K2"/>
    <mergeCell ref="A3:K3"/>
    <mergeCell ref="A18:K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6"/>
    <col collapsed="false" customWidth="true" hidden="false" outlineLevel="0" max="3" min="3" style="1" width="20"/>
    <col collapsed="false" customWidth="true" hidden="false" outlineLevel="0" max="4" min="4" style="1" width="30"/>
    <col collapsed="false" customWidth="true" hidden="false" outlineLevel="0" max="5" min="5" style="1" width="10"/>
    <col collapsed="false" customWidth="true" hidden="false" outlineLevel="0" max="6" min="6" style="1" width="20"/>
    <col collapsed="false" customWidth="true" hidden="false" outlineLevel="0" max="7" min="7" style="1" width="16"/>
    <col collapsed="false" customWidth="true" hidden="false" outlineLevel="0" max="8" min="8" style="1" width="24"/>
  </cols>
  <sheetData>
    <row r="1" customFormat="false" ht="27.75" hidden="false" customHeight="true" outlineLevel="0" collapsed="false">
      <c r="A1" s="8" t="s">
        <v>1393</v>
      </c>
      <c r="B1" s="8"/>
      <c r="C1" s="8"/>
      <c r="D1" s="8"/>
      <c r="E1" s="8"/>
      <c r="F1" s="8"/>
      <c r="G1" s="8"/>
      <c r="H1" s="8"/>
    </row>
    <row r="2" customFormat="false" ht="36" hidden="false" customHeight="true" outlineLevel="0" collapsed="false">
      <c r="A2" s="139" t="s">
        <v>1394</v>
      </c>
      <c r="B2" s="139"/>
      <c r="C2" s="139"/>
      <c r="D2" s="139"/>
      <c r="E2" s="139"/>
      <c r="F2" s="139"/>
      <c r="G2" s="139"/>
      <c r="H2" s="139"/>
    </row>
    <row r="3" customFormat="false" ht="21.75" hidden="false" customHeight="true" outlineLevel="0" collapsed="false">
      <c r="A3" s="78" t="s">
        <v>1395</v>
      </c>
      <c r="B3" s="78"/>
      <c r="C3" s="78"/>
      <c r="D3" s="78"/>
      <c r="E3" s="78"/>
      <c r="F3" s="78"/>
      <c r="G3" s="78"/>
      <c r="H3" s="78"/>
    </row>
    <row r="4" customFormat="false" ht="36" hidden="false" customHeight="true" outlineLevel="0" collapsed="false">
      <c r="A4" s="3" t="s">
        <v>132</v>
      </c>
      <c r="B4" s="3" t="s">
        <v>1396</v>
      </c>
      <c r="C4" s="3" t="s">
        <v>1397</v>
      </c>
      <c r="D4" s="3" t="s">
        <v>1398</v>
      </c>
      <c r="E4" s="3" t="s">
        <v>1399</v>
      </c>
      <c r="F4" s="3" t="s">
        <v>965</v>
      </c>
      <c r="G4" s="3" t="s">
        <v>1400</v>
      </c>
      <c r="H4" s="3" t="s">
        <v>3</v>
      </c>
    </row>
    <row r="5" customFormat="false" ht="15" hidden="false" customHeight="true" outlineLevel="0" collapsed="false">
      <c r="A5" s="40" t="n">
        <v>1</v>
      </c>
      <c r="B5" s="20" t="s">
        <v>1020</v>
      </c>
      <c r="C5" s="88" t="s">
        <v>1020</v>
      </c>
      <c r="D5" s="20" t="s">
        <v>1401</v>
      </c>
      <c r="E5" s="137" t="n">
        <v>220</v>
      </c>
      <c r="F5" s="88" t="s">
        <v>1020</v>
      </c>
      <c r="G5" s="119" t="s">
        <v>42</v>
      </c>
      <c r="H5" s="41" t="s">
        <v>83</v>
      </c>
    </row>
    <row r="6" customFormat="false" ht="15" hidden="false" customHeight="true" outlineLevel="0" collapsed="false">
      <c r="A6" s="40" t="n">
        <v>2</v>
      </c>
      <c r="B6" s="20" t="s">
        <v>1020</v>
      </c>
      <c r="C6" s="88" t="s">
        <v>1020</v>
      </c>
      <c r="D6" s="20" t="s">
        <v>1402</v>
      </c>
      <c r="E6" s="137" t="n">
        <v>220</v>
      </c>
      <c r="F6" s="88" t="s">
        <v>1043</v>
      </c>
      <c r="G6" s="119" t="s">
        <v>42</v>
      </c>
      <c r="H6" s="41" t="s">
        <v>83</v>
      </c>
    </row>
    <row r="7" customFormat="false" ht="15" hidden="false" customHeight="true" outlineLevel="0" collapsed="false">
      <c r="A7" s="40" t="n">
        <v>3</v>
      </c>
      <c r="B7" s="20" t="s">
        <v>1020</v>
      </c>
      <c r="C7" s="88" t="s">
        <v>1020</v>
      </c>
      <c r="D7" s="20" t="s">
        <v>1043</v>
      </c>
      <c r="E7" s="137" t="n">
        <v>220</v>
      </c>
      <c r="F7" s="88" t="s">
        <v>1043</v>
      </c>
      <c r="G7" s="119" t="s">
        <v>42</v>
      </c>
      <c r="H7" s="41" t="s">
        <v>83</v>
      </c>
    </row>
    <row r="8" customFormat="false" ht="15" hidden="false" customHeight="true" outlineLevel="0" collapsed="false">
      <c r="A8" s="40" t="n">
        <v>4</v>
      </c>
      <c r="B8" s="20" t="s">
        <v>1020</v>
      </c>
      <c r="C8" s="88" t="s">
        <v>1020</v>
      </c>
      <c r="D8" s="20" t="s">
        <v>1403</v>
      </c>
      <c r="E8" s="137" t="n">
        <v>220</v>
      </c>
      <c r="F8" s="88" t="s">
        <v>1020</v>
      </c>
      <c r="G8" s="119" t="s">
        <v>42</v>
      </c>
      <c r="H8" s="41" t="s">
        <v>83</v>
      </c>
    </row>
    <row r="9" customFormat="false" ht="15" hidden="false" customHeight="true" outlineLevel="0" collapsed="false">
      <c r="A9" s="40" t="n">
        <v>5</v>
      </c>
      <c r="B9" s="20" t="s">
        <v>1020</v>
      </c>
      <c r="C9" s="88" t="s">
        <v>1020</v>
      </c>
      <c r="D9" s="20" t="s">
        <v>1404</v>
      </c>
      <c r="E9" s="137" t="n">
        <v>220</v>
      </c>
      <c r="F9" s="88" t="s">
        <v>1020</v>
      </c>
      <c r="G9" s="119" t="s">
        <v>42</v>
      </c>
      <c r="H9" s="41" t="s">
        <v>83</v>
      </c>
    </row>
    <row r="10" customFormat="false" ht="15" hidden="false" customHeight="true" outlineLevel="0" collapsed="false">
      <c r="A10" s="40" t="n">
        <v>6</v>
      </c>
      <c r="B10" s="20" t="s">
        <v>1020</v>
      </c>
      <c r="C10" s="88" t="s">
        <v>1020</v>
      </c>
      <c r="D10" s="20" t="s">
        <v>1405</v>
      </c>
      <c r="E10" s="137" t="n">
        <v>220</v>
      </c>
      <c r="F10" s="88" t="s">
        <v>1020</v>
      </c>
      <c r="G10" s="119" t="s">
        <v>42</v>
      </c>
      <c r="H10" s="41" t="s">
        <v>83</v>
      </c>
    </row>
    <row r="11" customFormat="false" ht="15" hidden="false" customHeight="true" outlineLevel="0" collapsed="false">
      <c r="A11" s="40" t="n">
        <v>7</v>
      </c>
      <c r="B11" s="20" t="s">
        <v>1020</v>
      </c>
      <c r="C11" s="88" t="s">
        <v>1020</v>
      </c>
      <c r="D11" s="20" t="s">
        <v>1028</v>
      </c>
      <c r="E11" s="137" t="n">
        <v>220</v>
      </c>
      <c r="F11" s="88" t="s">
        <v>1028</v>
      </c>
      <c r="G11" s="119" t="s">
        <v>42</v>
      </c>
      <c r="H11" s="41" t="s">
        <v>83</v>
      </c>
    </row>
    <row r="12" customFormat="false" ht="15" hidden="false" customHeight="true" outlineLevel="0" collapsed="false">
      <c r="A12" s="40" t="n">
        <v>8</v>
      </c>
      <c r="B12" s="20" t="s">
        <v>1020</v>
      </c>
      <c r="C12" s="88" t="s">
        <v>1020</v>
      </c>
      <c r="D12" s="20" t="s">
        <v>1038</v>
      </c>
      <c r="E12" s="137" t="n">
        <v>220</v>
      </c>
      <c r="F12" s="88" t="s">
        <v>1038</v>
      </c>
      <c r="G12" s="119" t="s">
        <v>42</v>
      </c>
      <c r="H12" s="41" t="s">
        <v>83</v>
      </c>
    </row>
    <row r="13" customFormat="false" ht="15" hidden="false" customHeight="true" outlineLevel="0" collapsed="false">
      <c r="A13" s="40" t="n">
        <v>9</v>
      </c>
      <c r="B13" s="20" t="s">
        <v>1020</v>
      </c>
      <c r="C13" s="88" t="s">
        <v>1020</v>
      </c>
      <c r="D13" s="20" t="s">
        <v>1406</v>
      </c>
      <c r="E13" s="137" t="n">
        <v>220</v>
      </c>
      <c r="F13" s="88" t="s">
        <v>1013</v>
      </c>
      <c r="G13" s="119" t="s">
        <v>42</v>
      </c>
      <c r="H13" s="41" t="s">
        <v>83</v>
      </c>
    </row>
    <row r="14" customFormat="false" ht="15" hidden="false" customHeight="true" outlineLevel="0" collapsed="false">
      <c r="A14" s="40" t="n">
        <v>10</v>
      </c>
      <c r="B14" s="20" t="s">
        <v>1020</v>
      </c>
      <c r="C14" s="88" t="s">
        <v>1020</v>
      </c>
      <c r="D14" s="20" t="s">
        <v>1407</v>
      </c>
      <c r="E14" s="137" t="n">
        <v>220</v>
      </c>
      <c r="F14" s="88" t="s">
        <v>1038</v>
      </c>
      <c r="G14" s="119" t="s">
        <v>42</v>
      </c>
      <c r="H14" s="41" t="s">
        <v>83</v>
      </c>
    </row>
    <row r="15" customFormat="false" ht="15" hidden="false" customHeight="true" outlineLevel="0" collapsed="false">
      <c r="A15" s="40" t="n">
        <v>11</v>
      </c>
      <c r="B15" s="20" t="s">
        <v>1020</v>
      </c>
      <c r="C15" s="88" t="s">
        <v>1020</v>
      </c>
      <c r="D15" s="20" t="s">
        <v>1408</v>
      </c>
      <c r="E15" s="137" t="n">
        <v>220</v>
      </c>
      <c r="F15" s="88" t="s">
        <v>1028</v>
      </c>
      <c r="G15" s="119" t="s">
        <v>42</v>
      </c>
      <c r="H15" s="41" t="s">
        <v>83</v>
      </c>
    </row>
    <row r="16" customFormat="false" ht="15" hidden="false" customHeight="true" outlineLevel="0" collapsed="false">
      <c r="A16" s="40" t="n">
        <v>12</v>
      </c>
      <c r="B16" s="20" t="s">
        <v>1020</v>
      </c>
      <c r="C16" s="88" t="s">
        <v>1020</v>
      </c>
      <c r="D16" s="20" t="s">
        <v>1409</v>
      </c>
      <c r="E16" s="137" t="n">
        <v>220</v>
      </c>
      <c r="F16" s="88" t="s">
        <v>1020</v>
      </c>
      <c r="G16" s="119" t="s">
        <v>42</v>
      </c>
      <c r="H16" s="41" t="s">
        <v>83</v>
      </c>
    </row>
    <row r="17" customFormat="false" ht="15" hidden="false" customHeight="true" outlineLevel="0" collapsed="false">
      <c r="A17" s="40" t="n">
        <v>13</v>
      </c>
      <c r="B17" s="20" t="s">
        <v>1020</v>
      </c>
      <c r="C17" s="88" t="s">
        <v>1020</v>
      </c>
      <c r="D17" s="20" t="s">
        <v>1410</v>
      </c>
      <c r="E17" s="137" t="n">
        <v>220</v>
      </c>
      <c r="F17" s="88" t="s">
        <v>1031</v>
      </c>
      <c r="G17" s="119" t="s">
        <v>42</v>
      </c>
      <c r="H17" s="41" t="s">
        <v>83</v>
      </c>
    </row>
    <row r="18" customFormat="false" ht="15" hidden="false" customHeight="true" outlineLevel="0" collapsed="false">
      <c r="A18" s="40" t="n">
        <v>14</v>
      </c>
      <c r="B18" s="20" t="s">
        <v>1020</v>
      </c>
      <c r="C18" s="88" t="s">
        <v>1020</v>
      </c>
      <c r="D18" s="20" t="s">
        <v>1031</v>
      </c>
      <c r="E18" s="137" t="n">
        <v>220</v>
      </c>
      <c r="F18" s="88" t="s">
        <v>1031</v>
      </c>
      <c r="G18" s="119" t="s">
        <v>42</v>
      </c>
      <c r="H18" s="41" t="s">
        <v>83</v>
      </c>
    </row>
    <row r="19" customFormat="false" ht="15" hidden="false" customHeight="true" outlineLevel="0" collapsed="false">
      <c r="A19" s="40" t="n">
        <v>15</v>
      </c>
      <c r="B19" s="20" t="s">
        <v>1020</v>
      </c>
      <c r="C19" s="88" t="s">
        <v>1020</v>
      </c>
      <c r="D19" s="20" t="s">
        <v>1411</v>
      </c>
      <c r="E19" s="137" t="n">
        <v>220</v>
      </c>
      <c r="F19" s="88" t="s">
        <v>1411</v>
      </c>
      <c r="G19" s="119" t="s">
        <v>42</v>
      </c>
      <c r="H19" s="41" t="s">
        <v>83</v>
      </c>
    </row>
    <row r="20" customFormat="false" ht="15" hidden="false" customHeight="true" outlineLevel="0" collapsed="false">
      <c r="A20" s="40" t="n">
        <v>16</v>
      </c>
      <c r="B20" s="20" t="s">
        <v>1020</v>
      </c>
      <c r="C20" s="88" t="s">
        <v>1016</v>
      </c>
      <c r="D20" s="20" t="s">
        <v>1016</v>
      </c>
      <c r="E20" s="137" t="n">
        <v>220</v>
      </c>
      <c r="F20" s="88" t="s">
        <v>1016</v>
      </c>
      <c r="G20" s="119" t="s">
        <v>42</v>
      </c>
      <c r="H20" s="41" t="s">
        <v>83</v>
      </c>
    </row>
    <row r="21" customFormat="false" ht="15" hidden="false" customHeight="true" outlineLevel="0" collapsed="false">
      <c r="A21" s="40" t="n">
        <v>17</v>
      </c>
      <c r="B21" s="20" t="s">
        <v>1020</v>
      </c>
      <c r="C21" s="88" t="s">
        <v>1016</v>
      </c>
      <c r="D21" s="20" t="s">
        <v>1412</v>
      </c>
      <c r="E21" s="137" t="n">
        <v>220</v>
      </c>
      <c r="F21" s="88" t="s">
        <v>1016</v>
      </c>
      <c r="G21" s="119" t="s">
        <v>42</v>
      </c>
      <c r="H21" s="41" t="s">
        <v>83</v>
      </c>
    </row>
    <row r="22" customFormat="false" ht="15" hidden="false" customHeight="true" outlineLevel="0" collapsed="false">
      <c r="A22" s="40" t="n">
        <v>18</v>
      </c>
      <c r="B22" s="20" t="s">
        <v>1020</v>
      </c>
      <c r="C22" s="88" t="s">
        <v>1016</v>
      </c>
      <c r="D22" s="20" t="s">
        <v>1413</v>
      </c>
      <c r="E22" s="137" t="n">
        <v>220</v>
      </c>
      <c r="F22" s="88" t="s">
        <v>1414</v>
      </c>
      <c r="G22" s="119" t="s">
        <v>42</v>
      </c>
      <c r="H22" s="41" t="s">
        <v>83</v>
      </c>
    </row>
    <row r="23" customFormat="false" ht="15" hidden="false" customHeight="true" outlineLevel="0" collapsed="false">
      <c r="A23" s="40" t="n">
        <v>19</v>
      </c>
      <c r="B23" s="20" t="s">
        <v>1020</v>
      </c>
      <c r="C23" s="88" t="s">
        <v>1016</v>
      </c>
      <c r="D23" s="20" t="s">
        <v>1415</v>
      </c>
      <c r="E23" s="137" t="n">
        <v>220</v>
      </c>
      <c r="F23" s="88" t="s">
        <v>1414</v>
      </c>
      <c r="G23" s="119" t="s">
        <v>42</v>
      </c>
      <c r="H23" s="41" t="s">
        <v>83</v>
      </c>
    </row>
    <row r="24" customFormat="false" ht="15" hidden="false" customHeight="true" outlineLevel="0" collapsed="false">
      <c r="A24" s="40" t="n">
        <v>20</v>
      </c>
      <c r="B24" s="20" t="s">
        <v>1020</v>
      </c>
      <c r="C24" s="88" t="s">
        <v>1016</v>
      </c>
      <c r="D24" s="27" t="s">
        <v>1416</v>
      </c>
      <c r="E24" s="162" t="n">
        <v>132</v>
      </c>
      <c r="F24" s="88" t="s">
        <v>1414</v>
      </c>
      <c r="G24" s="119" t="s">
        <v>42</v>
      </c>
      <c r="H24" s="41" t="s">
        <v>83</v>
      </c>
    </row>
    <row r="25" customFormat="false" ht="15" hidden="false" customHeight="true" outlineLevel="0" collapsed="false">
      <c r="A25" s="40" t="n">
        <v>21</v>
      </c>
      <c r="B25" s="20" t="s">
        <v>1020</v>
      </c>
      <c r="C25" s="88" t="s">
        <v>1016</v>
      </c>
      <c r="D25" s="20" t="s">
        <v>1417</v>
      </c>
      <c r="E25" s="137" t="n">
        <v>220</v>
      </c>
      <c r="F25" s="88" t="s">
        <v>1016</v>
      </c>
      <c r="G25" s="119" t="s">
        <v>42</v>
      </c>
      <c r="H25" s="41" t="s">
        <v>83</v>
      </c>
    </row>
    <row r="26" customFormat="false" ht="15" hidden="false" customHeight="true" outlineLevel="0" collapsed="false">
      <c r="A26" s="40" t="n">
        <v>22</v>
      </c>
      <c r="B26" s="108" t="s">
        <v>1418</v>
      </c>
      <c r="C26" s="5" t="s">
        <v>1418</v>
      </c>
      <c r="D26" s="20" t="s">
        <v>1418</v>
      </c>
      <c r="E26" s="137" t="n">
        <v>220</v>
      </c>
      <c r="F26" s="5" t="s">
        <v>971</v>
      </c>
      <c r="G26" s="119" t="s">
        <v>42</v>
      </c>
      <c r="H26" s="41" t="s">
        <v>83</v>
      </c>
    </row>
    <row r="27" customFormat="false" ht="15" hidden="false" customHeight="true" outlineLevel="0" collapsed="false">
      <c r="A27" s="40" t="n">
        <v>23</v>
      </c>
      <c r="B27" s="108" t="s">
        <v>1418</v>
      </c>
      <c r="C27" s="5" t="s">
        <v>1418</v>
      </c>
      <c r="D27" s="20" t="s">
        <v>1419</v>
      </c>
      <c r="E27" s="137" t="n">
        <v>220</v>
      </c>
      <c r="F27" s="5" t="s">
        <v>971</v>
      </c>
      <c r="G27" s="119" t="s">
        <v>42</v>
      </c>
      <c r="H27" s="41" t="s">
        <v>83</v>
      </c>
    </row>
    <row r="28" customFormat="false" ht="15" hidden="false" customHeight="true" outlineLevel="0" collapsed="false">
      <c r="A28" s="40" t="n">
        <v>24</v>
      </c>
      <c r="B28" s="108" t="s">
        <v>1418</v>
      </c>
      <c r="C28" s="5" t="s">
        <v>1418</v>
      </c>
      <c r="D28" s="20" t="s">
        <v>1420</v>
      </c>
      <c r="E28" s="137" t="n">
        <v>220</v>
      </c>
      <c r="F28" s="5" t="s">
        <v>971</v>
      </c>
      <c r="G28" s="119" t="s">
        <v>42</v>
      </c>
      <c r="H28" s="41" t="s">
        <v>83</v>
      </c>
    </row>
    <row r="29" customFormat="false" ht="15" hidden="false" customHeight="true" outlineLevel="0" collapsed="false">
      <c r="A29" s="40" t="n">
        <v>25</v>
      </c>
      <c r="B29" s="108" t="s">
        <v>1418</v>
      </c>
      <c r="C29" s="5" t="s">
        <v>1418</v>
      </c>
      <c r="D29" s="20" t="s">
        <v>1421</v>
      </c>
      <c r="E29" s="137" t="n">
        <v>220</v>
      </c>
      <c r="F29" s="5" t="s">
        <v>971</v>
      </c>
      <c r="G29" s="119" t="s">
        <v>42</v>
      </c>
      <c r="H29" s="41" t="s">
        <v>83</v>
      </c>
    </row>
    <row r="30" customFormat="false" ht="15" hidden="false" customHeight="true" outlineLevel="0" collapsed="false">
      <c r="A30" s="40" t="n">
        <v>26</v>
      </c>
      <c r="B30" s="108" t="s">
        <v>1418</v>
      </c>
      <c r="C30" s="5" t="s">
        <v>1418</v>
      </c>
      <c r="D30" s="20" t="s">
        <v>1422</v>
      </c>
      <c r="E30" s="137" t="n">
        <v>220</v>
      </c>
      <c r="F30" s="5" t="s">
        <v>971</v>
      </c>
      <c r="G30" s="119" t="s">
        <v>42</v>
      </c>
      <c r="H30" s="41" t="s">
        <v>83</v>
      </c>
    </row>
    <row r="31" customFormat="false" ht="15" hidden="false" customHeight="true" outlineLevel="0" collapsed="false">
      <c r="A31" s="40" t="n">
        <v>27</v>
      </c>
      <c r="B31" s="108" t="s">
        <v>1418</v>
      </c>
      <c r="C31" s="5" t="s">
        <v>1418</v>
      </c>
      <c r="D31" s="20" t="s">
        <v>1423</v>
      </c>
      <c r="E31" s="137" t="n">
        <v>220</v>
      </c>
      <c r="F31" s="5" t="s">
        <v>971</v>
      </c>
      <c r="G31" s="119" t="s">
        <v>42</v>
      </c>
      <c r="H31" s="41" t="s">
        <v>83</v>
      </c>
    </row>
    <row r="32" customFormat="false" ht="15" hidden="false" customHeight="true" outlineLevel="0" collapsed="false">
      <c r="A32" s="40" t="n">
        <v>28</v>
      </c>
      <c r="B32" s="108" t="s">
        <v>1418</v>
      </c>
      <c r="C32" s="5" t="s">
        <v>1418</v>
      </c>
      <c r="D32" s="20" t="s">
        <v>1424</v>
      </c>
      <c r="E32" s="137" t="n">
        <v>220</v>
      </c>
      <c r="F32" s="5" t="s">
        <v>971</v>
      </c>
      <c r="G32" s="119" t="s">
        <v>42</v>
      </c>
      <c r="H32" s="41" t="s">
        <v>83</v>
      </c>
    </row>
    <row r="33" customFormat="false" ht="15" hidden="false" customHeight="true" outlineLevel="0" collapsed="false">
      <c r="A33" s="40" t="n">
        <v>29</v>
      </c>
      <c r="B33" s="108" t="s">
        <v>1418</v>
      </c>
      <c r="C33" s="5" t="s">
        <v>1418</v>
      </c>
      <c r="D33" s="27" t="s">
        <v>1425</v>
      </c>
      <c r="E33" s="162" t="n">
        <v>132</v>
      </c>
      <c r="F33" s="5" t="s">
        <v>971</v>
      </c>
      <c r="G33" s="119" t="s">
        <v>42</v>
      </c>
      <c r="H33" s="41" t="s">
        <v>83</v>
      </c>
    </row>
    <row r="34" customFormat="false" ht="15" hidden="false" customHeight="true" outlineLevel="0" collapsed="false">
      <c r="A34" s="40" t="n">
        <v>30</v>
      </c>
      <c r="B34" s="42" t="s">
        <v>1071</v>
      </c>
      <c r="C34" s="43" t="s">
        <v>1071</v>
      </c>
      <c r="D34" s="20" t="s">
        <v>1426</v>
      </c>
      <c r="E34" s="137" t="n">
        <v>220</v>
      </c>
      <c r="F34" s="43" t="s">
        <v>1071</v>
      </c>
      <c r="G34" s="119" t="s">
        <v>42</v>
      </c>
      <c r="H34" s="41" t="s">
        <v>83</v>
      </c>
    </row>
    <row r="35" customFormat="false" ht="15" hidden="false" customHeight="true" outlineLevel="0" collapsed="false">
      <c r="A35" s="40" t="n">
        <v>31</v>
      </c>
      <c r="B35" s="42" t="s">
        <v>1071</v>
      </c>
      <c r="C35" s="43" t="s">
        <v>1071</v>
      </c>
      <c r="D35" s="20" t="s">
        <v>1427</v>
      </c>
      <c r="E35" s="137" t="n">
        <v>220</v>
      </c>
      <c r="F35" s="43" t="s">
        <v>1071</v>
      </c>
      <c r="G35" s="119" t="s">
        <v>42</v>
      </c>
      <c r="H35" s="41" t="s">
        <v>83</v>
      </c>
    </row>
    <row r="36" customFormat="false" ht="15" hidden="false" customHeight="true" outlineLevel="0" collapsed="false">
      <c r="A36" s="40" t="n">
        <v>32</v>
      </c>
      <c r="B36" s="42" t="s">
        <v>1071</v>
      </c>
      <c r="C36" s="43" t="s">
        <v>1071</v>
      </c>
      <c r="D36" s="20" t="s">
        <v>1428</v>
      </c>
      <c r="E36" s="137" t="n">
        <v>220</v>
      </c>
      <c r="F36" s="43" t="s">
        <v>1071</v>
      </c>
      <c r="G36" s="119" t="s">
        <v>42</v>
      </c>
      <c r="H36" s="41" t="s">
        <v>83</v>
      </c>
    </row>
    <row r="37" customFormat="false" ht="15" hidden="false" customHeight="true" outlineLevel="0" collapsed="false">
      <c r="A37" s="40" t="n">
        <v>33</v>
      </c>
      <c r="B37" s="42" t="s">
        <v>1071</v>
      </c>
      <c r="C37" s="43" t="s">
        <v>1071</v>
      </c>
      <c r="D37" s="20" t="s">
        <v>1429</v>
      </c>
      <c r="E37" s="137" t="n">
        <v>220</v>
      </c>
      <c r="F37" s="43" t="s">
        <v>1058</v>
      </c>
      <c r="G37" s="119" t="s">
        <v>42</v>
      </c>
      <c r="H37" s="41" t="s">
        <v>83</v>
      </c>
    </row>
    <row r="38" customFormat="false" ht="15" hidden="false" customHeight="true" outlineLevel="0" collapsed="false">
      <c r="A38" s="40" t="n">
        <v>34</v>
      </c>
      <c r="B38" s="42" t="s">
        <v>1071</v>
      </c>
      <c r="C38" s="43" t="s">
        <v>1071</v>
      </c>
      <c r="D38" s="27" t="s">
        <v>1430</v>
      </c>
      <c r="E38" s="162" t="n">
        <v>132</v>
      </c>
      <c r="F38" s="43" t="s">
        <v>1071</v>
      </c>
      <c r="G38" s="119" t="s">
        <v>42</v>
      </c>
      <c r="H38" s="41" t="s">
        <v>83</v>
      </c>
    </row>
    <row r="39" customFormat="false" ht="15" hidden="false" customHeight="true" outlineLevel="0" collapsed="false">
      <c r="A39" s="40" t="n">
        <v>35</v>
      </c>
      <c r="B39" s="42" t="s">
        <v>1071</v>
      </c>
      <c r="C39" s="43" t="s">
        <v>1013</v>
      </c>
      <c r="D39" s="20" t="s">
        <v>1431</v>
      </c>
      <c r="E39" s="137" t="n">
        <v>220</v>
      </c>
      <c r="F39" s="43" t="s">
        <v>1013</v>
      </c>
      <c r="G39" s="119" t="s">
        <v>42</v>
      </c>
      <c r="H39" s="41" t="s">
        <v>83</v>
      </c>
    </row>
    <row r="40" customFormat="false" ht="15" hidden="false" customHeight="true" outlineLevel="0" collapsed="false">
      <c r="A40" s="40" t="n">
        <v>36</v>
      </c>
      <c r="B40" s="42" t="s">
        <v>1071</v>
      </c>
      <c r="C40" s="43" t="s">
        <v>1013</v>
      </c>
      <c r="D40" s="20" t="s">
        <v>1432</v>
      </c>
      <c r="E40" s="137" t="n">
        <v>220</v>
      </c>
      <c r="F40" s="43" t="s">
        <v>1013</v>
      </c>
      <c r="G40" s="119" t="s">
        <v>42</v>
      </c>
      <c r="H40" s="41" t="s">
        <v>83</v>
      </c>
    </row>
    <row r="41" customFormat="false" ht="15" hidden="false" customHeight="true" outlineLevel="0" collapsed="false">
      <c r="A41" s="40" t="n">
        <v>37</v>
      </c>
      <c r="B41" s="42" t="s">
        <v>1071</v>
      </c>
      <c r="C41" s="43" t="s">
        <v>1013</v>
      </c>
      <c r="D41" s="20" t="s">
        <v>1433</v>
      </c>
      <c r="E41" s="137" t="n">
        <v>220</v>
      </c>
      <c r="F41" s="43" t="s">
        <v>1013</v>
      </c>
      <c r="G41" s="119" t="s">
        <v>42</v>
      </c>
      <c r="H41" s="41" t="s">
        <v>83</v>
      </c>
    </row>
    <row r="42" customFormat="false" ht="15" hidden="false" customHeight="true" outlineLevel="0" collapsed="false">
      <c r="A42" s="40" t="n">
        <v>38</v>
      </c>
      <c r="B42" s="42" t="s">
        <v>1071</v>
      </c>
      <c r="C42" s="43" t="s">
        <v>1013</v>
      </c>
      <c r="D42" s="20" t="s">
        <v>1434</v>
      </c>
      <c r="E42" s="137" t="n">
        <v>220</v>
      </c>
      <c r="F42" s="43" t="s">
        <v>1013</v>
      </c>
      <c r="G42" s="119" t="s">
        <v>42</v>
      </c>
      <c r="H42" s="41" t="s">
        <v>83</v>
      </c>
    </row>
    <row r="43" customFormat="false" ht="15" hidden="false" customHeight="true" outlineLevel="0" collapsed="false">
      <c r="A43" s="40" t="n">
        <v>39</v>
      </c>
      <c r="B43" s="42" t="s">
        <v>1071</v>
      </c>
      <c r="C43" s="43" t="s">
        <v>1013</v>
      </c>
      <c r="D43" s="27" t="s">
        <v>1435</v>
      </c>
      <c r="E43" s="162" t="n">
        <v>132</v>
      </c>
      <c r="F43" s="43" t="s">
        <v>1013</v>
      </c>
      <c r="G43" s="119" t="s">
        <v>42</v>
      </c>
      <c r="H43" s="41" t="s">
        <v>83</v>
      </c>
    </row>
    <row r="44" customFormat="false" ht="15" hidden="false" customHeight="true" outlineLevel="0" collapsed="false">
      <c r="A44" s="40" t="n">
        <v>40</v>
      </c>
      <c r="B44" s="124" t="s">
        <v>1058</v>
      </c>
      <c r="C44" s="126" t="s">
        <v>1058</v>
      </c>
      <c r="D44" s="20" t="s">
        <v>1436</v>
      </c>
      <c r="E44" s="137" t="n">
        <v>220</v>
      </c>
      <c r="F44" s="126" t="s">
        <v>1058</v>
      </c>
      <c r="G44" s="119" t="s">
        <v>42</v>
      </c>
      <c r="H44" s="41" t="s">
        <v>83</v>
      </c>
    </row>
    <row r="45" customFormat="false" ht="15" hidden="false" customHeight="true" outlineLevel="0" collapsed="false">
      <c r="A45" s="40" t="n">
        <v>41</v>
      </c>
      <c r="B45" s="124" t="s">
        <v>1058</v>
      </c>
      <c r="C45" s="126" t="s">
        <v>1058</v>
      </c>
      <c r="D45" s="20" t="s">
        <v>1437</v>
      </c>
      <c r="E45" s="137" t="n">
        <v>220</v>
      </c>
      <c r="F45" s="126" t="s">
        <v>1058</v>
      </c>
      <c r="G45" s="119" t="s">
        <v>42</v>
      </c>
      <c r="H45" s="41" t="s">
        <v>83</v>
      </c>
    </row>
    <row r="46" customFormat="false" ht="15" hidden="false" customHeight="true" outlineLevel="0" collapsed="false">
      <c r="A46" s="40" t="n">
        <v>42</v>
      </c>
      <c r="B46" s="124" t="s">
        <v>1058</v>
      </c>
      <c r="C46" s="126" t="s">
        <v>1058</v>
      </c>
      <c r="D46" s="27" t="s">
        <v>1438</v>
      </c>
      <c r="E46" s="162" t="n">
        <v>132</v>
      </c>
      <c r="F46" s="126" t="s">
        <v>1058</v>
      </c>
      <c r="G46" s="119" t="s">
        <v>42</v>
      </c>
      <c r="H46" s="41" t="s">
        <v>83</v>
      </c>
    </row>
    <row r="47" customFormat="false" ht="15" hidden="false" customHeight="true" outlineLevel="0" collapsed="false">
      <c r="A47" s="40" t="n">
        <v>43</v>
      </c>
      <c r="B47" s="124" t="s">
        <v>1058</v>
      </c>
      <c r="C47" s="126" t="s">
        <v>1002</v>
      </c>
      <c r="D47" s="20" t="s">
        <v>1002</v>
      </c>
      <c r="E47" s="137" t="n">
        <v>220</v>
      </c>
      <c r="F47" s="126" t="s">
        <v>1002</v>
      </c>
      <c r="G47" s="119" t="s">
        <v>42</v>
      </c>
      <c r="H47" s="41" t="s">
        <v>83</v>
      </c>
    </row>
    <row r="48" customFormat="false" ht="15" hidden="false" customHeight="true" outlineLevel="0" collapsed="false">
      <c r="A48" s="40" t="n">
        <v>44</v>
      </c>
      <c r="B48" s="124" t="s">
        <v>1058</v>
      </c>
      <c r="C48" s="126" t="s">
        <v>1002</v>
      </c>
      <c r="D48" s="20" t="s">
        <v>1439</v>
      </c>
      <c r="E48" s="137" t="n">
        <v>220</v>
      </c>
      <c r="F48" s="126" t="s">
        <v>1002</v>
      </c>
      <c r="G48" s="119" t="s">
        <v>42</v>
      </c>
      <c r="H48" s="41" t="s">
        <v>83</v>
      </c>
    </row>
    <row r="49" customFormat="false" ht="15" hidden="false" customHeight="true" outlineLevel="0" collapsed="false">
      <c r="A49" s="40" t="n">
        <v>45</v>
      </c>
      <c r="B49" s="124" t="s">
        <v>1058</v>
      </c>
      <c r="C49" s="126" t="s">
        <v>1002</v>
      </c>
      <c r="D49" s="27" t="s">
        <v>1440</v>
      </c>
      <c r="E49" s="162" t="n">
        <v>132</v>
      </c>
      <c r="F49" s="126" t="s">
        <v>1002</v>
      </c>
      <c r="G49" s="119" t="s">
        <v>42</v>
      </c>
      <c r="H49" s="41" t="s">
        <v>83</v>
      </c>
    </row>
    <row r="50" customFormat="false" ht="15" hidden="false" customHeight="true" outlineLevel="0" collapsed="false">
      <c r="A50" s="40" t="n">
        <v>46</v>
      </c>
      <c r="B50" s="124" t="s">
        <v>1058</v>
      </c>
      <c r="C50" s="126" t="s">
        <v>1441</v>
      </c>
      <c r="D50" s="20" t="s">
        <v>1441</v>
      </c>
      <c r="E50" s="137" t="n">
        <v>220</v>
      </c>
      <c r="F50" s="126" t="s">
        <v>1052</v>
      </c>
      <c r="G50" s="119" t="s">
        <v>42</v>
      </c>
      <c r="H50" s="41" t="s">
        <v>83</v>
      </c>
    </row>
    <row r="51" customFormat="false" ht="15" hidden="false" customHeight="true" outlineLevel="0" collapsed="false">
      <c r="A51" s="40" t="n">
        <v>47</v>
      </c>
      <c r="B51" s="124" t="s">
        <v>1058</v>
      </c>
      <c r="C51" s="126" t="s">
        <v>1441</v>
      </c>
      <c r="D51" s="27" t="s">
        <v>1442</v>
      </c>
      <c r="E51" s="162" t="n">
        <v>132</v>
      </c>
      <c r="F51" s="126" t="s">
        <v>1052</v>
      </c>
      <c r="G51" s="119" t="s">
        <v>42</v>
      </c>
      <c r="H51" s="41" t="s">
        <v>83</v>
      </c>
    </row>
    <row r="52" customFormat="false" ht="15" hidden="false" customHeight="true" outlineLevel="0" collapsed="false">
      <c r="A52" s="40" t="n">
        <v>48</v>
      </c>
      <c r="B52" s="124" t="s">
        <v>1058</v>
      </c>
      <c r="C52" s="126" t="s">
        <v>1441</v>
      </c>
      <c r="D52" s="27" t="s">
        <v>1443</v>
      </c>
      <c r="E52" s="162" t="n">
        <v>132</v>
      </c>
      <c r="F52" s="126" t="s">
        <v>1052</v>
      </c>
      <c r="G52" s="119" t="s">
        <v>42</v>
      </c>
      <c r="H52" s="41" t="s">
        <v>83</v>
      </c>
    </row>
    <row r="53" customFormat="false" ht="15" hidden="false" customHeight="true" outlineLevel="0" collapsed="false">
      <c r="A53" s="40" t="n">
        <v>49</v>
      </c>
      <c r="B53" s="124" t="s">
        <v>1058</v>
      </c>
      <c r="C53" s="126" t="s">
        <v>1065</v>
      </c>
      <c r="D53" s="20" t="s">
        <v>1444</v>
      </c>
      <c r="E53" s="137" t="n">
        <v>220</v>
      </c>
      <c r="F53" s="126" t="s">
        <v>1065</v>
      </c>
      <c r="G53" s="119" t="s">
        <v>42</v>
      </c>
      <c r="H53" s="41" t="s">
        <v>83</v>
      </c>
    </row>
    <row r="54" customFormat="false" ht="15" hidden="false" customHeight="true" outlineLevel="0" collapsed="false">
      <c r="A54" s="40" t="n">
        <v>50</v>
      </c>
      <c r="B54" s="124" t="s">
        <v>1058</v>
      </c>
      <c r="C54" s="126" t="s">
        <v>1065</v>
      </c>
      <c r="D54" s="20" t="s">
        <v>1445</v>
      </c>
      <c r="E54" s="137" t="n">
        <v>220</v>
      </c>
      <c r="F54" s="126" t="s">
        <v>1068</v>
      </c>
      <c r="G54" s="119" t="s">
        <v>42</v>
      </c>
      <c r="H54" s="41" t="s">
        <v>83</v>
      </c>
    </row>
    <row r="55" customFormat="false" ht="15" hidden="false" customHeight="true" outlineLevel="0" collapsed="false">
      <c r="A55" s="40" t="n">
        <v>51</v>
      </c>
      <c r="B55" s="124" t="s">
        <v>1058</v>
      </c>
      <c r="C55" s="126" t="s">
        <v>1065</v>
      </c>
      <c r="D55" s="27" t="s">
        <v>1446</v>
      </c>
      <c r="E55" s="162" t="n">
        <v>132</v>
      </c>
      <c r="F55" s="126" t="s">
        <v>1065</v>
      </c>
      <c r="G55" s="119" t="s">
        <v>42</v>
      </c>
      <c r="H55" s="41" t="s">
        <v>83</v>
      </c>
    </row>
    <row r="56" customFormat="false" ht="15" hidden="false" customHeight="true" outlineLevel="0" collapsed="false">
      <c r="A56" s="40" t="n">
        <v>52</v>
      </c>
      <c r="B56" s="17" t="s">
        <v>1095</v>
      </c>
      <c r="C56" s="123" t="s">
        <v>1095</v>
      </c>
      <c r="D56" s="20" t="s">
        <v>1447</v>
      </c>
      <c r="E56" s="137" t="n">
        <v>220</v>
      </c>
      <c r="F56" s="123" t="s">
        <v>1095</v>
      </c>
      <c r="G56" s="119" t="s">
        <v>42</v>
      </c>
      <c r="H56" s="41" t="s">
        <v>83</v>
      </c>
    </row>
    <row r="57" customFormat="false" ht="15" hidden="false" customHeight="true" outlineLevel="0" collapsed="false">
      <c r="A57" s="40" t="n">
        <v>53</v>
      </c>
      <c r="B57" s="17" t="s">
        <v>1095</v>
      </c>
      <c r="C57" s="123" t="s">
        <v>1095</v>
      </c>
      <c r="D57" s="20" t="s">
        <v>1448</v>
      </c>
      <c r="E57" s="137" t="n">
        <v>220</v>
      </c>
      <c r="F57" s="123" t="s">
        <v>1095</v>
      </c>
      <c r="G57" s="119" t="s">
        <v>42</v>
      </c>
      <c r="H57" s="41" t="s">
        <v>83</v>
      </c>
    </row>
    <row r="58" customFormat="false" ht="15" hidden="false" customHeight="true" outlineLevel="0" collapsed="false">
      <c r="A58" s="40" t="n">
        <v>54</v>
      </c>
      <c r="B58" s="17" t="s">
        <v>1095</v>
      </c>
      <c r="C58" s="123" t="s">
        <v>1095</v>
      </c>
      <c r="D58" s="20" t="s">
        <v>1449</v>
      </c>
      <c r="E58" s="137" t="n">
        <v>220</v>
      </c>
      <c r="F58" s="123" t="s">
        <v>1083</v>
      </c>
      <c r="G58" s="119" t="s">
        <v>42</v>
      </c>
      <c r="H58" s="41" t="s">
        <v>83</v>
      </c>
    </row>
    <row r="59" customFormat="false" ht="15" hidden="false" customHeight="true" outlineLevel="0" collapsed="false">
      <c r="A59" s="40" t="n">
        <v>55</v>
      </c>
      <c r="B59" s="17" t="s">
        <v>1095</v>
      </c>
      <c r="C59" s="123" t="s">
        <v>1095</v>
      </c>
      <c r="D59" s="20" t="s">
        <v>1091</v>
      </c>
      <c r="E59" s="137" t="n">
        <v>220</v>
      </c>
      <c r="F59" s="123" t="s">
        <v>1091</v>
      </c>
      <c r="G59" s="119" t="s">
        <v>42</v>
      </c>
      <c r="H59" s="41" t="s">
        <v>83</v>
      </c>
    </row>
    <row r="60" customFormat="false" ht="15" hidden="false" customHeight="true" outlineLevel="0" collapsed="false">
      <c r="A60" s="40" t="n">
        <v>56</v>
      </c>
      <c r="B60" s="17" t="s">
        <v>1095</v>
      </c>
      <c r="C60" s="123" t="s">
        <v>1095</v>
      </c>
      <c r="D60" s="20" t="s">
        <v>1450</v>
      </c>
      <c r="E60" s="137" t="n">
        <v>220</v>
      </c>
      <c r="F60" s="123" t="s">
        <v>1083</v>
      </c>
      <c r="G60" s="119" t="s">
        <v>42</v>
      </c>
      <c r="H60" s="41" t="s">
        <v>83</v>
      </c>
    </row>
    <row r="61" customFormat="false" ht="15" hidden="false" customHeight="true" outlineLevel="0" collapsed="false">
      <c r="A61" s="40" t="n">
        <v>57</v>
      </c>
      <c r="B61" s="17" t="s">
        <v>1095</v>
      </c>
      <c r="C61" s="123" t="s">
        <v>1095</v>
      </c>
      <c r="D61" s="20" t="s">
        <v>1451</v>
      </c>
      <c r="E61" s="137" t="n">
        <v>220</v>
      </c>
      <c r="F61" s="123" t="s">
        <v>1091</v>
      </c>
      <c r="G61" s="119" t="s">
        <v>42</v>
      </c>
      <c r="H61" s="41" t="s">
        <v>83</v>
      </c>
    </row>
    <row r="62" customFormat="false" ht="15" hidden="false" customHeight="true" outlineLevel="0" collapsed="false">
      <c r="A62" s="40" t="n">
        <v>58</v>
      </c>
      <c r="B62" s="17" t="s">
        <v>1095</v>
      </c>
      <c r="C62" s="123" t="s">
        <v>1095</v>
      </c>
      <c r="D62" s="20" t="s">
        <v>1452</v>
      </c>
      <c r="E62" s="137" t="n">
        <v>220</v>
      </c>
      <c r="F62" s="123" t="s">
        <v>1091</v>
      </c>
      <c r="G62" s="119" t="s">
        <v>42</v>
      </c>
      <c r="H62" s="41" t="s">
        <v>83</v>
      </c>
    </row>
    <row r="63" customFormat="false" ht="15" hidden="false" customHeight="true" outlineLevel="0" collapsed="false">
      <c r="A63" s="40" t="n">
        <v>59</v>
      </c>
      <c r="B63" s="17" t="s">
        <v>1095</v>
      </c>
      <c r="C63" s="123" t="s">
        <v>1095</v>
      </c>
      <c r="D63" s="20" t="s">
        <v>1453</v>
      </c>
      <c r="E63" s="137" t="n">
        <v>220</v>
      </c>
      <c r="F63" s="123" t="s">
        <v>1101</v>
      </c>
      <c r="G63" s="119" t="s">
        <v>42</v>
      </c>
      <c r="H63" s="41" t="s">
        <v>83</v>
      </c>
    </row>
    <row r="64" customFormat="false" ht="15" hidden="false" customHeight="true" outlineLevel="0" collapsed="false">
      <c r="A64" s="40" t="n">
        <v>60</v>
      </c>
      <c r="B64" s="17" t="s">
        <v>1095</v>
      </c>
      <c r="C64" s="123" t="s">
        <v>1095</v>
      </c>
      <c r="D64" s="20" t="s">
        <v>1454</v>
      </c>
      <c r="E64" s="137" t="n">
        <v>220</v>
      </c>
      <c r="F64" s="123" t="s">
        <v>1101</v>
      </c>
      <c r="G64" s="119" t="s">
        <v>42</v>
      </c>
      <c r="H64" s="41" t="s">
        <v>83</v>
      </c>
    </row>
    <row r="65" customFormat="false" ht="15" hidden="false" customHeight="true" outlineLevel="0" collapsed="false">
      <c r="A65" s="40" t="n">
        <v>61</v>
      </c>
      <c r="B65" s="17" t="s">
        <v>1095</v>
      </c>
      <c r="C65" s="123" t="s">
        <v>1095</v>
      </c>
      <c r="D65" s="20" t="s">
        <v>1455</v>
      </c>
      <c r="E65" s="137" t="n">
        <v>220</v>
      </c>
      <c r="F65" s="123" t="s">
        <v>1455</v>
      </c>
      <c r="G65" s="119" t="s">
        <v>42</v>
      </c>
      <c r="H65" s="41" t="s">
        <v>83</v>
      </c>
    </row>
    <row r="66" customFormat="false" ht="15" hidden="false" customHeight="true" outlineLevel="0" collapsed="false">
      <c r="A66" s="40" t="n">
        <v>62</v>
      </c>
      <c r="B66" s="17" t="s">
        <v>1095</v>
      </c>
      <c r="C66" s="123" t="s">
        <v>1095</v>
      </c>
      <c r="D66" s="27" t="s">
        <v>1456</v>
      </c>
      <c r="E66" s="162" t="n">
        <v>132</v>
      </c>
      <c r="F66" s="123" t="s">
        <v>1068</v>
      </c>
      <c r="G66" s="119" t="s">
        <v>42</v>
      </c>
      <c r="H66" s="41" t="s">
        <v>83</v>
      </c>
    </row>
    <row r="67" customFormat="false" ht="15" hidden="false" customHeight="true" outlineLevel="0" collapsed="false">
      <c r="A67" s="40" t="n">
        <v>63</v>
      </c>
      <c r="B67" s="17" t="s">
        <v>1095</v>
      </c>
      <c r="C67" s="123" t="s">
        <v>1095</v>
      </c>
      <c r="D67" s="20" t="s">
        <v>1457</v>
      </c>
      <c r="E67" s="137" t="n">
        <v>220</v>
      </c>
      <c r="F67" s="123" t="s">
        <v>1068</v>
      </c>
      <c r="G67" s="119" t="s">
        <v>42</v>
      </c>
      <c r="H67" s="41" t="s">
        <v>83</v>
      </c>
    </row>
    <row r="68" customFormat="false" ht="15" hidden="false" customHeight="true" outlineLevel="0" collapsed="false">
      <c r="A68" s="40" t="n">
        <v>64</v>
      </c>
      <c r="B68" s="17" t="s">
        <v>1095</v>
      </c>
      <c r="C68" s="123" t="s">
        <v>1095</v>
      </c>
      <c r="D68" s="27" t="s">
        <v>1458</v>
      </c>
      <c r="E68" s="162" t="n">
        <v>132</v>
      </c>
      <c r="F68" s="123" t="s">
        <v>1455</v>
      </c>
      <c r="G68" s="119" t="s">
        <v>42</v>
      </c>
      <c r="H68" s="41" t="s">
        <v>83</v>
      </c>
    </row>
    <row r="69" customFormat="false" ht="15" hidden="false" customHeight="true" outlineLevel="0" collapsed="false">
      <c r="A69" s="40" t="n">
        <v>65</v>
      </c>
      <c r="B69" s="11" t="s">
        <v>1111</v>
      </c>
      <c r="C69" s="86" t="s">
        <v>1111</v>
      </c>
      <c r="D69" s="20" t="s">
        <v>1459</v>
      </c>
      <c r="E69" s="137" t="n">
        <v>220</v>
      </c>
      <c r="F69" s="86" t="s">
        <v>1111</v>
      </c>
      <c r="G69" s="119" t="s">
        <v>42</v>
      </c>
      <c r="H69" s="41" t="s">
        <v>83</v>
      </c>
    </row>
    <row r="70" customFormat="false" ht="15" hidden="false" customHeight="true" outlineLevel="0" collapsed="false">
      <c r="A70" s="40" t="n">
        <v>66</v>
      </c>
      <c r="B70" s="11" t="s">
        <v>1111</v>
      </c>
      <c r="C70" s="86" t="s">
        <v>1111</v>
      </c>
      <c r="D70" s="20" t="s">
        <v>1460</v>
      </c>
      <c r="E70" s="137" t="n">
        <v>220</v>
      </c>
      <c r="F70" s="86" t="s">
        <v>1111</v>
      </c>
      <c r="G70" s="119" t="s">
        <v>42</v>
      </c>
      <c r="H70" s="41" t="s">
        <v>83</v>
      </c>
    </row>
    <row r="71" customFormat="false" ht="15" hidden="false" customHeight="true" outlineLevel="0" collapsed="false">
      <c r="A71" s="40" t="n">
        <v>67</v>
      </c>
      <c r="B71" s="11" t="s">
        <v>1111</v>
      </c>
      <c r="C71" s="86" t="s">
        <v>1111</v>
      </c>
      <c r="D71" s="20" t="s">
        <v>1461</v>
      </c>
      <c r="E71" s="137" t="n">
        <v>220</v>
      </c>
      <c r="F71" s="86" t="s">
        <v>1111</v>
      </c>
      <c r="G71" s="119" t="s">
        <v>42</v>
      </c>
      <c r="H71" s="41" t="s">
        <v>83</v>
      </c>
    </row>
    <row r="72" customFormat="false" ht="15" hidden="false" customHeight="true" outlineLevel="0" collapsed="false">
      <c r="A72" s="40" t="n">
        <v>68</v>
      </c>
      <c r="B72" s="11" t="s">
        <v>1111</v>
      </c>
      <c r="C72" s="86" t="s">
        <v>1111</v>
      </c>
      <c r="D72" s="20" t="s">
        <v>1462</v>
      </c>
      <c r="E72" s="137" t="n">
        <v>220</v>
      </c>
      <c r="F72" s="86" t="s">
        <v>1118</v>
      </c>
      <c r="G72" s="119" t="s">
        <v>42</v>
      </c>
      <c r="H72" s="41" t="s">
        <v>83</v>
      </c>
    </row>
    <row r="73" customFormat="false" ht="15" hidden="false" customHeight="true" outlineLevel="0" collapsed="false">
      <c r="A73" s="40" t="n">
        <v>69</v>
      </c>
      <c r="B73" s="11" t="s">
        <v>1111</v>
      </c>
      <c r="C73" s="86" t="s">
        <v>1111</v>
      </c>
      <c r="D73" s="20" t="s">
        <v>1115</v>
      </c>
      <c r="E73" s="137" t="n">
        <v>220</v>
      </c>
      <c r="F73" s="86" t="s">
        <v>1115</v>
      </c>
      <c r="G73" s="119" t="s">
        <v>42</v>
      </c>
      <c r="H73" s="41" t="s">
        <v>83</v>
      </c>
    </row>
    <row r="74" customFormat="false" ht="15" hidden="false" customHeight="true" outlineLevel="0" collapsed="false">
      <c r="A74" s="40" t="n">
        <v>70</v>
      </c>
      <c r="B74" s="11" t="s">
        <v>1111</v>
      </c>
      <c r="C74" s="86" t="s">
        <v>1111</v>
      </c>
      <c r="D74" s="27" t="s">
        <v>1463</v>
      </c>
      <c r="E74" s="162" t="n">
        <v>132</v>
      </c>
      <c r="F74" s="86" t="s">
        <v>1115</v>
      </c>
      <c r="G74" s="119" t="s">
        <v>42</v>
      </c>
      <c r="H74" s="41" t="s">
        <v>83</v>
      </c>
    </row>
    <row r="75" customFormat="false" ht="15" hidden="false" customHeight="true" outlineLevel="0" collapsed="false">
      <c r="A75" s="40" t="n">
        <v>71</v>
      </c>
      <c r="B75" s="11" t="s">
        <v>1111</v>
      </c>
      <c r="C75" s="86" t="s">
        <v>1127</v>
      </c>
      <c r="D75" s="20" t="s">
        <v>1127</v>
      </c>
      <c r="E75" s="137" t="n">
        <v>220</v>
      </c>
      <c r="F75" s="86" t="s">
        <v>1127</v>
      </c>
      <c r="G75" s="119" t="s">
        <v>42</v>
      </c>
      <c r="H75" s="41" t="s">
        <v>83</v>
      </c>
    </row>
    <row r="76" customFormat="false" ht="15" hidden="false" customHeight="true" outlineLevel="0" collapsed="false">
      <c r="A76" s="40" t="n">
        <v>72</v>
      </c>
      <c r="B76" s="11" t="s">
        <v>1111</v>
      </c>
      <c r="C76" s="86" t="s">
        <v>1127</v>
      </c>
      <c r="D76" s="20" t="s">
        <v>1464</v>
      </c>
      <c r="E76" s="137" t="n">
        <v>220</v>
      </c>
      <c r="F76" s="86" t="s">
        <v>1111</v>
      </c>
      <c r="G76" s="119" t="s">
        <v>42</v>
      </c>
      <c r="H76" s="41" t="s">
        <v>83</v>
      </c>
    </row>
    <row r="77" customFormat="false" ht="15" hidden="false" customHeight="true" outlineLevel="0" collapsed="false">
      <c r="A77" s="40" t="n">
        <v>73</v>
      </c>
      <c r="B77" s="11" t="s">
        <v>1111</v>
      </c>
      <c r="C77" s="86" t="s">
        <v>1127</v>
      </c>
      <c r="D77" s="20" t="s">
        <v>1465</v>
      </c>
      <c r="E77" s="137" t="n">
        <v>220</v>
      </c>
      <c r="F77" s="86" t="s">
        <v>1127</v>
      </c>
      <c r="G77" s="119" t="s">
        <v>42</v>
      </c>
      <c r="H77" s="41" t="s">
        <v>83</v>
      </c>
    </row>
    <row r="78" customFormat="false" ht="15" hidden="false" customHeight="true" outlineLevel="0" collapsed="false">
      <c r="A78" s="40" t="n">
        <v>74</v>
      </c>
      <c r="B78" s="11" t="s">
        <v>1111</v>
      </c>
      <c r="C78" s="86" t="s">
        <v>1127</v>
      </c>
      <c r="D78" s="20" t="s">
        <v>1466</v>
      </c>
      <c r="E78" s="137" t="n">
        <v>220</v>
      </c>
      <c r="F78" s="86" t="s">
        <v>1111</v>
      </c>
      <c r="G78" s="119" t="s">
        <v>42</v>
      </c>
      <c r="H78" s="41" t="s">
        <v>83</v>
      </c>
    </row>
    <row r="79" customFormat="false" ht="15" hidden="false" customHeight="true" outlineLevel="0" collapsed="false">
      <c r="A79" s="40" t="n">
        <v>75</v>
      </c>
      <c r="B79" s="11" t="s">
        <v>1111</v>
      </c>
      <c r="C79" s="86" t="s">
        <v>1127</v>
      </c>
      <c r="D79" s="20" t="s">
        <v>1467</v>
      </c>
      <c r="E79" s="137" t="n">
        <v>220</v>
      </c>
      <c r="F79" s="86" t="s">
        <v>1106</v>
      </c>
      <c r="G79" s="119" t="s">
        <v>42</v>
      </c>
      <c r="H79" s="41" t="s">
        <v>83</v>
      </c>
    </row>
    <row r="80" customFormat="false" ht="15" hidden="false" customHeight="true" outlineLevel="0" collapsed="false">
      <c r="A80" s="40" t="n">
        <v>76</v>
      </c>
      <c r="B80" s="11" t="s">
        <v>1111</v>
      </c>
      <c r="C80" s="86" t="s">
        <v>1127</v>
      </c>
      <c r="D80" s="27" t="s">
        <v>1468</v>
      </c>
      <c r="E80" s="162" t="n">
        <v>132</v>
      </c>
      <c r="F80" s="86" t="s">
        <v>1106</v>
      </c>
      <c r="G80" s="119" t="s">
        <v>42</v>
      </c>
      <c r="H80" s="41" t="s">
        <v>83</v>
      </c>
    </row>
    <row r="81" customFormat="false" ht="15" hidden="false" customHeight="true" outlineLevel="0" collapsed="false">
      <c r="A81" s="40" t="n">
        <v>77</v>
      </c>
      <c r="B81" s="11" t="s">
        <v>1111</v>
      </c>
      <c r="C81" s="86" t="s">
        <v>1127</v>
      </c>
      <c r="D81" s="20" t="s">
        <v>1469</v>
      </c>
      <c r="E81" s="137" t="n">
        <v>220</v>
      </c>
      <c r="F81" s="86" t="s">
        <v>1111</v>
      </c>
      <c r="G81" s="119" t="s">
        <v>42</v>
      </c>
      <c r="H81" s="41" t="s">
        <v>83</v>
      </c>
    </row>
    <row r="82" customFormat="false" ht="15" hidden="false" customHeight="true" outlineLevel="0" collapsed="false">
      <c r="A82" s="40" t="n">
        <v>78</v>
      </c>
      <c r="B82" s="11" t="s">
        <v>1111</v>
      </c>
      <c r="C82" s="86" t="s">
        <v>1031</v>
      </c>
      <c r="D82" s="27" t="s">
        <v>1470</v>
      </c>
      <c r="E82" s="162" t="n">
        <v>132</v>
      </c>
      <c r="F82" s="86" t="s">
        <v>1471</v>
      </c>
      <c r="G82" s="119" t="s">
        <v>42</v>
      </c>
      <c r="H82" s="41" t="s">
        <v>83</v>
      </c>
    </row>
    <row r="83" customFormat="false" ht="15" hidden="false" customHeight="true" outlineLevel="0" collapsed="false">
      <c r="A83" s="40" t="n">
        <v>79</v>
      </c>
      <c r="B83" s="11" t="s">
        <v>1111</v>
      </c>
      <c r="C83" s="86" t="s">
        <v>1031</v>
      </c>
      <c r="D83" s="27" t="s">
        <v>1472</v>
      </c>
      <c r="E83" s="162" t="n">
        <v>132</v>
      </c>
      <c r="F83" s="86" t="s">
        <v>1471</v>
      </c>
      <c r="G83" s="119" t="s">
        <v>42</v>
      </c>
      <c r="H83" s="41" t="s">
        <v>83</v>
      </c>
    </row>
    <row r="84" customFormat="false" ht="15" hidden="false" customHeight="true" outlineLevel="0" collapsed="false">
      <c r="A84" s="40" t="n">
        <v>80</v>
      </c>
      <c r="B84" s="11" t="s">
        <v>1111</v>
      </c>
      <c r="C84" s="86" t="s">
        <v>1031</v>
      </c>
      <c r="D84" s="27" t="s">
        <v>1473</v>
      </c>
      <c r="E84" s="162" t="n">
        <v>132</v>
      </c>
      <c r="F84" s="86" t="s">
        <v>1471</v>
      </c>
      <c r="G84" s="119" t="s">
        <v>42</v>
      </c>
      <c r="H84" s="41" t="s">
        <v>83</v>
      </c>
    </row>
    <row r="85" customFormat="false" ht="15" hidden="false" customHeight="true" outlineLevel="0" collapsed="false">
      <c r="A85" s="40" t="n">
        <v>81</v>
      </c>
      <c r="B85" s="11" t="s">
        <v>1111</v>
      </c>
      <c r="C85" s="86" t="s">
        <v>1031</v>
      </c>
      <c r="D85" s="20" t="s">
        <v>1474</v>
      </c>
      <c r="E85" s="137" t="n">
        <v>220</v>
      </c>
      <c r="F85" s="86" t="s">
        <v>1028</v>
      </c>
      <c r="G85" s="119" t="s">
        <v>42</v>
      </c>
      <c r="H85" s="41" t="s">
        <v>83</v>
      </c>
    </row>
    <row r="86" customFormat="false" ht="15" hidden="false" customHeight="true" outlineLevel="0" collapsed="false">
      <c r="A86" s="40" t="n">
        <v>82</v>
      </c>
      <c r="B86" s="11" t="s">
        <v>1111</v>
      </c>
      <c r="C86" s="86" t="s">
        <v>1031</v>
      </c>
      <c r="D86" s="20" t="s">
        <v>1475</v>
      </c>
      <c r="E86" s="137" t="n">
        <v>220</v>
      </c>
      <c r="F86" s="86" t="s">
        <v>1091</v>
      </c>
      <c r="G86" s="119" t="s">
        <v>42</v>
      </c>
      <c r="H86" s="41" t="s">
        <v>83</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4" min="3" style="1" width="10"/>
    <col collapsed="false" customWidth="true" hidden="false" outlineLevel="0" max="6" min="5" style="1" width="14"/>
    <col collapsed="false" customWidth="true" hidden="false" outlineLevel="0" max="7" min="7" style="1" width="12"/>
    <col collapsed="false" customWidth="true" hidden="false" outlineLevel="0" max="8" min="8" style="1" width="14"/>
    <col collapsed="false" customWidth="true" hidden="false" outlineLevel="0" max="9" min="9" style="1" width="38"/>
    <col collapsed="false" customWidth="true" hidden="false" outlineLevel="0" max="10" min="10" style="1" width="28"/>
  </cols>
  <sheetData>
    <row r="1" customFormat="false" ht="27.75" hidden="false" customHeight="true" outlineLevel="0" collapsed="false">
      <c r="A1" s="8" t="s">
        <v>1476</v>
      </c>
      <c r="B1" s="8"/>
      <c r="C1" s="8"/>
      <c r="D1" s="8"/>
      <c r="E1" s="8"/>
      <c r="F1" s="8"/>
      <c r="G1" s="8"/>
      <c r="H1" s="8"/>
      <c r="I1" s="8"/>
      <c r="J1" s="8"/>
    </row>
    <row r="2" customFormat="false" ht="42" hidden="false" customHeight="true" outlineLevel="0" collapsed="false">
      <c r="A2" s="139" t="s">
        <v>1477</v>
      </c>
      <c r="B2" s="139"/>
      <c r="C2" s="139"/>
      <c r="D2" s="139"/>
      <c r="E2" s="139"/>
      <c r="F2" s="139"/>
      <c r="G2" s="139"/>
      <c r="H2" s="139"/>
      <c r="I2" s="139"/>
      <c r="J2" s="139"/>
    </row>
    <row r="3" customFormat="false" ht="21.75" hidden="false" customHeight="true" outlineLevel="0" collapsed="false">
      <c r="A3" s="78" t="s">
        <v>1478</v>
      </c>
      <c r="B3" s="78"/>
      <c r="C3" s="78"/>
      <c r="D3" s="78"/>
      <c r="E3" s="78"/>
      <c r="F3" s="78"/>
      <c r="G3" s="78"/>
      <c r="H3" s="78"/>
      <c r="I3" s="78"/>
      <c r="J3" s="78"/>
    </row>
    <row r="4" customFormat="false" ht="42" hidden="false" customHeight="true" outlineLevel="0" collapsed="false">
      <c r="A4" s="3" t="s">
        <v>132</v>
      </c>
      <c r="B4" s="3" t="s">
        <v>395</v>
      </c>
      <c r="C4" s="3" t="s">
        <v>1479</v>
      </c>
      <c r="D4" s="3" t="s">
        <v>263</v>
      </c>
      <c r="E4" s="3" t="s">
        <v>1480</v>
      </c>
      <c r="F4" s="3" t="s">
        <v>1481</v>
      </c>
      <c r="G4" s="3" t="s">
        <v>1482</v>
      </c>
      <c r="H4" s="3" t="s">
        <v>1483</v>
      </c>
      <c r="I4" s="3" t="s">
        <v>1484</v>
      </c>
      <c r="J4" s="3" t="s">
        <v>1485</v>
      </c>
    </row>
    <row r="5" customFormat="false" ht="15" hidden="false" customHeight="true" outlineLevel="0" collapsed="false">
      <c r="A5" s="40" t="n">
        <v>1</v>
      </c>
      <c r="B5" s="11" t="s">
        <v>150</v>
      </c>
      <c r="C5" s="15" t="s">
        <v>268</v>
      </c>
      <c r="D5" s="15" t="s">
        <v>148</v>
      </c>
      <c r="E5" s="163" t="n">
        <v>210</v>
      </c>
      <c r="F5" s="147" t="n">
        <v>85</v>
      </c>
      <c r="G5" s="146" t="n">
        <v>5</v>
      </c>
      <c r="H5" s="147" t="n">
        <v>65</v>
      </c>
      <c r="I5" s="164" t="s">
        <v>1486</v>
      </c>
      <c r="J5" s="165" t="s">
        <v>1487</v>
      </c>
    </row>
    <row r="6" customFormat="false" ht="15" hidden="false" customHeight="true" outlineLevel="0" collapsed="false">
      <c r="A6" s="40" t="n">
        <v>2</v>
      </c>
      <c r="B6" s="11" t="s">
        <v>150</v>
      </c>
      <c r="C6" s="15" t="s">
        <v>270</v>
      </c>
      <c r="D6" s="15" t="s">
        <v>148</v>
      </c>
      <c r="E6" s="163" t="n">
        <v>210</v>
      </c>
      <c r="F6" s="147" t="n">
        <v>85</v>
      </c>
      <c r="G6" s="146" t="n">
        <v>5</v>
      </c>
      <c r="H6" s="147" t="n">
        <v>65</v>
      </c>
      <c r="I6" s="164" t="s">
        <v>1488</v>
      </c>
      <c r="J6" s="165" t="s">
        <v>1487</v>
      </c>
    </row>
    <row r="7" customFormat="false" ht="15" hidden="false" customHeight="true" outlineLevel="0" collapsed="false">
      <c r="A7" s="40" t="n">
        <v>3</v>
      </c>
      <c r="B7" s="11" t="s">
        <v>150</v>
      </c>
      <c r="C7" s="15" t="s">
        <v>272</v>
      </c>
      <c r="D7" s="15" t="s">
        <v>148</v>
      </c>
      <c r="E7" s="163" t="n">
        <v>210</v>
      </c>
      <c r="F7" s="147" t="n">
        <v>85</v>
      </c>
      <c r="G7" s="146" t="n">
        <v>4.5</v>
      </c>
      <c r="H7" s="147" t="n">
        <v>68</v>
      </c>
      <c r="I7" s="164" t="s">
        <v>1489</v>
      </c>
      <c r="J7" s="165" t="s">
        <v>1487</v>
      </c>
    </row>
    <row r="8" customFormat="false" ht="15" hidden="false" customHeight="true" outlineLevel="0" collapsed="false">
      <c r="A8" s="40" t="n">
        <v>4</v>
      </c>
      <c r="B8" s="11" t="s">
        <v>152</v>
      </c>
      <c r="C8" s="15" t="s">
        <v>1490</v>
      </c>
      <c r="D8" s="15" t="s">
        <v>148</v>
      </c>
      <c r="E8" s="163" t="n">
        <v>210</v>
      </c>
      <c r="F8" s="147" t="n">
        <v>85</v>
      </c>
      <c r="G8" s="146" t="n">
        <v>5</v>
      </c>
      <c r="H8" s="147" t="n">
        <v>70</v>
      </c>
      <c r="I8" s="164" t="s">
        <v>1491</v>
      </c>
      <c r="J8" s="165" t="s">
        <v>1487</v>
      </c>
    </row>
    <row r="9" customFormat="false" ht="15" hidden="false" customHeight="true" outlineLevel="0" collapsed="false">
      <c r="A9" s="40" t="n">
        <v>5</v>
      </c>
      <c r="B9" s="11" t="s">
        <v>152</v>
      </c>
      <c r="C9" s="15" t="s">
        <v>276</v>
      </c>
      <c r="D9" s="15" t="s">
        <v>148</v>
      </c>
      <c r="E9" s="163" t="n">
        <v>210</v>
      </c>
      <c r="F9" s="147" t="n">
        <v>85</v>
      </c>
      <c r="G9" s="146" t="n">
        <v>5</v>
      </c>
      <c r="H9" s="147" t="n">
        <v>70</v>
      </c>
      <c r="I9" s="164" t="s">
        <v>1492</v>
      </c>
      <c r="J9" s="165" t="s">
        <v>1487</v>
      </c>
    </row>
    <row r="10" customFormat="false" ht="15" hidden="false" customHeight="true" outlineLevel="0" collapsed="false">
      <c r="A10" s="40" t="n">
        <v>6</v>
      </c>
      <c r="B10" s="11" t="s">
        <v>147</v>
      </c>
      <c r="C10" s="15" t="s">
        <v>1493</v>
      </c>
      <c r="D10" s="15" t="s">
        <v>148</v>
      </c>
      <c r="E10" s="163" t="n">
        <v>120</v>
      </c>
      <c r="F10" s="147" t="n">
        <v>80</v>
      </c>
      <c r="G10" s="146" t="n">
        <v>7</v>
      </c>
      <c r="H10" s="147" t="n">
        <v>55</v>
      </c>
      <c r="I10" s="164" t="s">
        <v>1494</v>
      </c>
      <c r="J10" s="165" t="s">
        <v>1487</v>
      </c>
    </row>
    <row r="11" customFormat="false" ht="15" hidden="false" customHeight="true" outlineLevel="0" collapsed="false">
      <c r="A11" s="40" t="n">
        <v>7</v>
      </c>
      <c r="B11" s="11" t="s">
        <v>147</v>
      </c>
      <c r="C11" s="15" t="s">
        <v>1495</v>
      </c>
      <c r="D11" s="15" t="s">
        <v>148</v>
      </c>
      <c r="E11" s="163" t="n">
        <v>200</v>
      </c>
      <c r="F11" s="147" t="n">
        <v>83</v>
      </c>
      <c r="G11" s="146" t="n">
        <v>5.5</v>
      </c>
      <c r="H11" s="147" t="n">
        <v>62</v>
      </c>
      <c r="I11" s="164" t="s">
        <v>1496</v>
      </c>
      <c r="J11" s="165" t="s">
        <v>1487</v>
      </c>
    </row>
    <row r="12" customFormat="false" ht="15" hidden="false" customHeight="true" outlineLevel="0" collapsed="false">
      <c r="A12" s="40" t="n">
        <v>8</v>
      </c>
      <c r="B12" s="11" t="s">
        <v>147</v>
      </c>
      <c r="C12" s="15" t="s">
        <v>274</v>
      </c>
      <c r="D12" s="15" t="s">
        <v>148</v>
      </c>
      <c r="E12" s="163" t="n">
        <v>500</v>
      </c>
      <c r="F12" s="147" t="n">
        <v>85</v>
      </c>
      <c r="G12" s="146" t="n">
        <v>4</v>
      </c>
      <c r="H12" s="147" t="n">
        <v>72</v>
      </c>
      <c r="I12" s="164" t="s">
        <v>1497</v>
      </c>
      <c r="J12" s="165" t="s">
        <v>1487</v>
      </c>
    </row>
    <row r="13" customFormat="false" ht="15" hidden="false" customHeight="true" outlineLevel="0" collapsed="false">
      <c r="A13" s="40" t="n">
        <v>9</v>
      </c>
      <c r="B13" s="11" t="s">
        <v>154</v>
      </c>
      <c r="C13" s="15" t="s">
        <v>1498</v>
      </c>
      <c r="D13" s="15" t="s">
        <v>148</v>
      </c>
      <c r="E13" s="163" t="n">
        <v>250</v>
      </c>
      <c r="F13" s="147" t="n">
        <v>82</v>
      </c>
      <c r="G13" s="146" t="n">
        <v>6</v>
      </c>
      <c r="H13" s="147" t="n">
        <v>58</v>
      </c>
      <c r="I13" s="164" t="s">
        <v>1499</v>
      </c>
      <c r="J13" s="165" t="s">
        <v>1487</v>
      </c>
    </row>
    <row r="14" customFormat="false" ht="15" hidden="false" customHeight="true" outlineLevel="0" collapsed="false">
      <c r="A14" s="40" t="n">
        <v>10</v>
      </c>
      <c r="B14" s="11" t="s">
        <v>1500</v>
      </c>
      <c r="C14" s="15" t="s">
        <v>1501</v>
      </c>
      <c r="D14" s="15" t="s">
        <v>148</v>
      </c>
      <c r="E14" s="163" t="n">
        <v>330</v>
      </c>
      <c r="F14" s="147" t="n">
        <v>88</v>
      </c>
      <c r="G14" s="146" t="n">
        <v>3.5</v>
      </c>
      <c r="H14" s="147" t="n">
        <v>75</v>
      </c>
      <c r="I14" s="164" t="s">
        <v>1502</v>
      </c>
      <c r="J14" s="165" t="s">
        <v>1487</v>
      </c>
    </row>
    <row r="15" customFormat="false" ht="15" hidden="false" customHeight="true" outlineLevel="0" collapsed="false">
      <c r="A15" s="40" t="n">
        <v>11</v>
      </c>
      <c r="B15" s="11" t="s">
        <v>1503</v>
      </c>
      <c r="C15" s="15" t="s">
        <v>1493</v>
      </c>
      <c r="D15" s="15" t="s">
        <v>148</v>
      </c>
      <c r="E15" s="163" t="n">
        <v>660</v>
      </c>
      <c r="F15" s="147" t="n">
        <v>88</v>
      </c>
      <c r="G15" s="146" t="n">
        <v>3</v>
      </c>
      <c r="H15" s="147" t="n">
        <v>78</v>
      </c>
      <c r="I15" s="164" t="s">
        <v>1504</v>
      </c>
      <c r="J15" s="165" t="s">
        <v>1487</v>
      </c>
    </row>
    <row r="16" customFormat="false" ht="15" hidden="false" customHeight="true" outlineLevel="0" collapsed="false">
      <c r="A16" s="40" t="n">
        <v>12</v>
      </c>
      <c r="B16" s="11" t="s">
        <v>1505</v>
      </c>
      <c r="C16" s="15" t="s">
        <v>1493</v>
      </c>
      <c r="D16" s="15" t="s">
        <v>148</v>
      </c>
      <c r="E16" s="163" t="n">
        <v>600</v>
      </c>
      <c r="F16" s="147" t="n">
        <v>87</v>
      </c>
      <c r="G16" s="146" t="n">
        <v>3.5</v>
      </c>
      <c r="H16" s="147" t="n">
        <v>74</v>
      </c>
      <c r="I16" s="164" t="s">
        <v>1506</v>
      </c>
      <c r="J16" s="165" t="s">
        <v>1487</v>
      </c>
    </row>
    <row r="17" customFormat="false" ht="15" hidden="false" customHeight="true" outlineLevel="0" collapsed="false">
      <c r="A17" s="40" t="n">
        <v>13</v>
      </c>
      <c r="B17" s="11" t="s">
        <v>228</v>
      </c>
      <c r="C17" s="15" t="s">
        <v>1507</v>
      </c>
      <c r="D17" s="15" t="s">
        <v>148</v>
      </c>
      <c r="E17" s="163" t="n">
        <v>830</v>
      </c>
      <c r="F17" s="147" t="n">
        <v>88</v>
      </c>
      <c r="G17" s="146" t="n">
        <v>3</v>
      </c>
      <c r="H17" s="147" t="n">
        <v>75</v>
      </c>
      <c r="I17" s="164" t="s">
        <v>1508</v>
      </c>
      <c r="J17" s="165" t="s">
        <v>1487</v>
      </c>
    </row>
    <row r="18" customFormat="false" ht="15" hidden="false" customHeight="true" outlineLevel="0" collapsed="false">
      <c r="A18" s="40" t="n">
        <v>14</v>
      </c>
      <c r="B18" s="25" t="s">
        <v>169</v>
      </c>
      <c r="C18" s="26" t="s">
        <v>1501</v>
      </c>
      <c r="D18" s="26" t="s">
        <v>170</v>
      </c>
      <c r="E18" s="166" t="n">
        <v>125</v>
      </c>
      <c r="F18" s="150" t="n">
        <v>80</v>
      </c>
      <c r="G18" s="149" t="n">
        <v>6</v>
      </c>
      <c r="H18" s="150" t="n">
        <v>65</v>
      </c>
      <c r="I18" s="164" t="s">
        <v>1509</v>
      </c>
      <c r="J18" s="165" t="s">
        <v>1487</v>
      </c>
    </row>
    <row r="19" customFormat="false" ht="15" hidden="false" customHeight="true" outlineLevel="0" collapsed="false">
      <c r="A19" s="40" t="n">
        <v>15</v>
      </c>
      <c r="B19" s="25" t="s">
        <v>177</v>
      </c>
      <c r="C19" s="26" t="s">
        <v>1493</v>
      </c>
      <c r="D19" s="26" t="s">
        <v>170</v>
      </c>
      <c r="E19" s="166" t="n">
        <v>125</v>
      </c>
      <c r="F19" s="150" t="n">
        <v>78</v>
      </c>
      <c r="G19" s="149" t="n">
        <v>7</v>
      </c>
      <c r="H19" s="150" t="n">
        <v>60</v>
      </c>
      <c r="I19" s="164" t="s">
        <v>1510</v>
      </c>
      <c r="J19" s="165" t="s">
        <v>1487</v>
      </c>
    </row>
    <row r="20" customFormat="false" ht="15" hidden="false" customHeight="true" outlineLevel="0" collapsed="false">
      <c r="A20" s="40" t="n">
        <v>16</v>
      </c>
      <c r="B20" s="20" t="s">
        <v>179</v>
      </c>
      <c r="C20" s="12" t="s">
        <v>293</v>
      </c>
      <c r="D20" s="12" t="s">
        <v>144</v>
      </c>
      <c r="E20" s="167" t="n">
        <v>1148</v>
      </c>
      <c r="F20" s="152" t="n">
        <v>80</v>
      </c>
      <c r="G20" s="151" t="n">
        <v>4</v>
      </c>
      <c r="H20" s="152" t="n">
        <v>45</v>
      </c>
      <c r="I20" s="164" t="s">
        <v>1511</v>
      </c>
      <c r="J20" s="165" t="s">
        <v>1487</v>
      </c>
    </row>
    <row r="21" customFormat="false" ht="15" hidden="false" customHeight="true" outlineLevel="0" collapsed="false">
      <c r="A21" s="40" t="n">
        <v>17</v>
      </c>
      <c r="B21" s="20" t="s">
        <v>181</v>
      </c>
      <c r="C21" s="12" t="s">
        <v>293</v>
      </c>
      <c r="D21" s="12" t="s">
        <v>144</v>
      </c>
      <c r="E21" s="167" t="n">
        <v>383</v>
      </c>
      <c r="F21" s="152" t="n">
        <v>80</v>
      </c>
      <c r="G21" s="151" t="n">
        <v>4</v>
      </c>
      <c r="H21" s="152" t="n">
        <v>40</v>
      </c>
      <c r="I21" s="164" t="s">
        <v>1512</v>
      </c>
      <c r="J21" s="165" t="s">
        <v>1487</v>
      </c>
    </row>
    <row r="22" customFormat="false" ht="15" hidden="false" customHeight="true" outlineLevel="0" collapsed="false">
      <c r="A22" s="40" t="n">
        <v>18</v>
      </c>
      <c r="B22" s="20" t="s">
        <v>142</v>
      </c>
      <c r="C22" s="12" t="s">
        <v>293</v>
      </c>
      <c r="D22" s="12" t="s">
        <v>144</v>
      </c>
      <c r="E22" s="167" t="n">
        <v>595</v>
      </c>
      <c r="F22" s="152" t="n">
        <v>75</v>
      </c>
      <c r="G22" s="151" t="n">
        <v>5</v>
      </c>
      <c r="H22" s="152" t="n">
        <v>35</v>
      </c>
      <c r="I22" s="164" t="s">
        <v>1513</v>
      </c>
      <c r="J22" s="165" t="s">
        <v>1487</v>
      </c>
    </row>
    <row r="23" customFormat="false" ht="15" hidden="false" customHeight="true" outlineLevel="0" collapsed="false">
      <c r="A23" s="40" t="n">
        <v>19</v>
      </c>
      <c r="B23" s="20" t="s">
        <v>277</v>
      </c>
      <c r="C23" s="12" t="s">
        <v>293</v>
      </c>
      <c r="D23" s="12" t="s">
        <v>144</v>
      </c>
      <c r="E23" s="167" t="n">
        <v>375</v>
      </c>
      <c r="F23" s="152" t="n">
        <v>75</v>
      </c>
      <c r="G23" s="151" t="n">
        <v>5</v>
      </c>
      <c r="H23" s="152" t="n">
        <v>30</v>
      </c>
      <c r="I23" s="164" t="s">
        <v>1514</v>
      </c>
      <c r="J23" s="165" t="s">
        <v>1487</v>
      </c>
    </row>
    <row r="24" customFormat="false" ht="15" hidden="false" customHeight="true" outlineLevel="0" collapsed="false">
      <c r="A24" s="40" t="n">
        <v>20</v>
      </c>
      <c r="B24" s="11" t="s">
        <v>1515</v>
      </c>
      <c r="C24" s="15" t="s">
        <v>1516</v>
      </c>
      <c r="D24" s="15" t="s">
        <v>148</v>
      </c>
      <c r="E24" s="163" t="n">
        <v>660</v>
      </c>
      <c r="F24" s="147" t="n">
        <v>90</v>
      </c>
      <c r="G24" s="146" t="n">
        <v>3</v>
      </c>
      <c r="H24" s="147" t="n">
        <v>80</v>
      </c>
      <c r="I24" s="164" t="s">
        <v>1517</v>
      </c>
      <c r="J24" s="165" t="s">
        <v>1487</v>
      </c>
    </row>
    <row r="25" customFormat="false" ht="15" hidden="false" customHeight="true" outlineLevel="0" collapsed="false">
      <c r="A25" s="40" t="n">
        <v>21</v>
      </c>
      <c r="B25" s="11" t="s">
        <v>1518</v>
      </c>
      <c r="C25" s="15" t="s">
        <v>1493</v>
      </c>
      <c r="D25" s="15" t="s">
        <v>148</v>
      </c>
      <c r="E25" s="163" t="n">
        <v>500</v>
      </c>
      <c r="F25" s="147" t="n">
        <v>90</v>
      </c>
      <c r="G25" s="146" t="n">
        <v>3</v>
      </c>
      <c r="H25" s="147" t="n">
        <v>80</v>
      </c>
      <c r="I25" s="164" t="s">
        <v>1519</v>
      </c>
      <c r="J25" s="165" t="s">
        <v>1487</v>
      </c>
    </row>
    <row r="26" customFormat="false" ht="15" hidden="false" customHeight="true" outlineLevel="0" collapsed="false">
      <c r="A26" s="40" t="n">
        <v>22</v>
      </c>
      <c r="B26" s="11" t="s">
        <v>1520</v>
      </c>
      <c r="C26" s="15" t="s">
        <v>249</v>
      </c>
      <c r="D26" s="15" t="s">
        <v>148</v>
      </c>
      <c r="E26" s="163" t="s">
        <v>1521</v>
      </c>
      <c r="F26" s="147" t="n">
        <v>90</v>
      </c>
      <c r="G26" s="146" t="n">
        <v>3</v>
      </c>
      <c r="H26" s="147" t="n">
        <v>78</v>
      </c>
      <c r="I26" s="164" t="s">
        <v>1522</v>
      </c>
      <c r="J26" s="165" t="s">
        <v>1487</v>
      </c>
    </row>
    <row r="27" customFormat="false" ht="15" hidden="false" customHeight="true" outlineLevel="0" collapsed="false">
      <c r="A27" s="40" t="n">
        <v>23</v>
      </c>
      <c r="B27" s="17" t="s">
        <v>1523</v>
      </c>
      <c r="C27" s="19" t="s">
        <v>1493</v>
      </c>
      <c r="D27" s="19" t="s">
        <v>193</v>
      </c>
      <c r="E27" s="168" t="n">
        <v>220</v>
      </c>
      <c r="F27" s="156" t="n">
        <v>90</v>
      </c>
      <c r="G27" s="155" t="n">
        <v>2</v>
      </c>
      <c r="H27" s="154" t="s">
        <v>1358</v>
      </c>
      <c r="I27" s="164" t="s">
        <v>1524</v>
      </c>
      <c r="J27" s="165" t="s">
        <v>1525</v>
      </c>
    </row>
    <row r="28" customFormat="false" ht="15" hidden="false" customHeight="true" outlineLevel="0" collapsed="false">
      <c r="A28" s="40" t="n">
        <v>24</v>
      </c>
      <c r="B28" s="17" t="s">
        <v>1526</v>
      </c>
      <c r="C28" s="19" t="s">
        <v>1493</v>
      </c>
      <c r="D28" s="19" t="s">
        <v>193</v>
      </c>
      <c r="E28" s="168" t="n">
        <v>700</v>
      </c>
      <c r="F28" s="156" t="n">
        <v>90</v>
      </c>
      <c r="G28" s="155" t="n">
        <v>2</v>
      </c>
      <c r="H28" s="154" t="s">
        <v>1358</v>
      </c>
      <c r="I28" s="164" t="s">
        <v>1527</v>
      </c>
      <c r="J28" s="165" t="s">
        <v>1525</v>
      </c>
    </row>
    <row r="29" customFormat="false" ht="15" hidden="false" customHeight="true" outlineLevel="0" collapsed="false">
      <c r="A29" s="40" t="n">
        <v>25</v>
      </c>
      <c r="B29" s="17" t="s">
        <v>1528</v>
      </c>
      <c r="C29" s="19" t="s">
        <v>1501</v>
      </c>
      <c r="D29" s="19" t="s">
        <v>193</v>
      </c>
      <c r="E29" s="168" t="s">
        <v>1529</v>
      </c>
      <c r="F29" s="156" t="n">
        <v>90</v>
      </c>
      <c r="G29" s="155" t="n">
        <v>2</v>
      </c>
      <c r="H29" s="154" t="s">
        <v>1358</v>
      </c>
      <c r="I29" s="164" t="s">
        <v>1530</v>
      </c>
      <c r="J29" s="165" t="s">
        <v>1525</v>
      </c>
    </row>
    <row r="32" customFormat="false" ht="21.75" hidden="false" customHeight="true" outlineLevel="0" collapsed="false">
      <c r="A32" s="78" t="s">
        <v>1531</v>
      </c>
      <c r="B32" s="78"/>
      <c r="C32" s="78"/>
      <c r="D32" s="78"/>
      <c r="E32" s="78"/>
      <c r="F32" s="78"/>
      <c r="G32" s="78"/>
      <c r="H32" s="78"/>
      <c r="I32" s="78"/>
      <c r="J32" s="78"/>
    </row>
    <row r="33" customFormat="false" ht="21.75" hidden="false" customHeight="true" outlineLevel="0" collapsed="false">
      <c r="A33" s="169" t="s">
        <v>1532</v>
      </c>
      <c r="B33" s="170" t="s">
        <v>1533</v>
      </c>
      <c r="C33" s="170"/>
      <c r="D33" s="170"/>
      <c r="E33" s="170"/>
      <c r="F33" s="170"/>
      <c r="G33" s="170"/>
      <c r="H33" s="170"/>
      <c r="I33" s="170"/>
      <c r="J33" s="170"/>
    </row>
    <row r="34" customFormat="false" ht="21.75" hidden="false" customHeight="true" outlineLevel="0" collapsed="false">
      <c r="A34" s="169" t="s">
        <v>1534</v>
      </c>
      <c r="B34" s="170" t="s">
        <v>1535</v>
      </c>
      <c r="C34" s="170"/>
      <c r="D34" s="170"/>
      <c r="E34" s="170"/>
      <c r="F34" s="170"/>
      <c r="G34" s="170"/>
      <c r="H34" s="170"/>
      <c r="I34" s="170"/>
      <c r="J34" s="170"/>
    </row>
    <row r="35" customFormat="false" ht="21.75" hidden="false" customHeight="true" outlineLevel="0" collapsed="false">
      <c r="A35" s="169" t="s">
        <v>1536</v>
      </c>
      <c r="B35" s="170" t="s">
        <v>1537</v>
      </c>
      <c r="C35" s="170"/>
      <c r="D35" s="170"/>
      <c r="E35" s="170"/>
      <c r="F35" s="170"/>
      <c r="G35" s="170"/>
      <c r="H35" s="170"/>
      <c r="I35" s="170"/>
      <c r="J35" s="170"/>
    </row>
    <row r="36" customFormat="false" ht="21.75" hidden="false" customHeight="true" outlineLevel="0" collapsed="false">
      <c r="A36" s="169" t="s">
        <v>1538</v>
      </c>
      <c r="B36" s="170" t="s">
        <v>1539</v>
      </c>
      <c r="C36" s="170"/>
      <c r="D36" s="170"/>
      <c r="E36" s="170"/>
      <c r="F36" s="170"/>
      <c r="G36" s="170"/>
      <c r="H36" s="170"/>
      <c r="I36" s="170"/>
      <c r="J36" s="170"/>
    </row>
    <row r="37" customFormat="false" ht="21.75" hidden="false" customHeight="true" outlineLevel="0" collapsed="false">
      <c r="A37" s="169" t="s">
        <v>1540</v>
      </c>
      <c r="B37" s="170" t="s">
        <v>1541</v>
      </c>
      <c r="C37" s="170"/>
      <c r="D37" s="170"/>
      <c r="E37" s="170"/>
      <c r="F37" s="170"/>
      <c r="G37" s="170"/>
      <c r="H37" s="170"/>
      <c r="I37" s="170"/>
      <c r="J37" s="170"/>
    </row>
    <row r="38" customFormat="false" ht="21.75" hidden="false" customHeight="true" outlineLevel="0" collapsed="false">
      <c r="A38" s="169" t="s">
        <v>1542</v>
      </c>
      <c r="B38" s="170" t="s">
        <v>1543</v>
      </c>
      <c r="C38" s="170"/>
      <c r="D38" s="170"/>
      <c r="E38" s="170"/>
      <c r="F38" s="170"/>
      <c r="G38" s="170"/>
      <c r="H38" s="170"/>
      <c r="I38" s="170"/>
      <c r="J38" s="170"/>
    </row>
    <row r="39" customFormat="false" ht="15" hidden="false" customHeight="true" outlineLevel="0" collapsed="false">
      <c r="A39" s="169" t="s">
        <v>479</v>
      </c>
      <c r="B39" s="170" t="s">
        <v>1544</v>
      </c>
      <c r="C39" s="170"/>
      <c r="D39" s="170"/>
      <c r="E39" s="170"/>
      <c r="F39" s="170"/>
      <c r="G39" s="170"/>
      <c r="H39" s="170"/>
      <c r="I39" s="170"/>
      <c r="J39" s="170"/>
    </row>
  </sheetData>
  <mergeCells count="11">
    <mergeCell ref="A1:J1"/>
    <mergeCell ref="A2:J2"/>
    <mergeCell ref="A3:J3"/>
    <mergeCell ref="A32:J32"/>
    <mergeCell ref="B33:J33"/>
    <mergeCell ref="B34:J34"/>
    <mergeCell ref="B35:J35"/>
    <mergeCell ref="B36:J36"/>
    <mergeCell ref="B37:J37"/>
    <mergeCell ref="B38:J38"/>
    <mergeCell ref="B39:J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32"/>
    <col collapsed="false" customWidth="true" hidden="false" outlineLevel="0" max="5" min="5" style="1" width="38"/>
    <col collapsed="false" customWidth="true" hidden="false" outlineLevel="0" max="6" min="6" style="1" width="28"/>
    <col collapsed="false" customWidth="true" hidden="false" outlineLevel="0" max="8" min="7" style="1" width="5"/>
  </cols>
  <sheetData>
    <row r="1" customFormat="false" ht="27.75" hidden="false" customHeight="true" outlineLevel="0" collapsed="false">
      <c r="A1" s="8" t="s">
        <v>1545</v>
      </c>
      <c r="B1" s="8"/>
      <c r="C1" s="8"/>
      <c r="D1" s="8"/>
      <c r="E1" s="8"/>
      <c r="F1" s="8"/>
      <c r="G1" s="8"/>
      <c r="H1" s="8"/>
    </row>
    <row r="2" customFormat="false" ht="42" hidden="false" customHeight="true" outlineLevel="0" collapsed="false">
      <c r="A2" s="121" t="s">
        <v>1546</v>
      </c>
      <c r="B2" s="121"/>
      <c r="C2" s="121"/>
      <c r="D2" s="121"/>
      <c r="E2" s="121"/>
      <c r="F2" s="121"/>
      <c r="G2" s="121"/>
      <c r="H2" s="121"/>
    </row>
    <row r="3" customFormat="false" ht="21.75" hidden="false" customHeight="true" outlineLevel="0" collapsed="false">
      <c r="A3" s="78" t="s">
        <v>1547</v>
      </c>
      <c r="B3" s="78"/>
      <c r="C3" s="78"/>
      <c r="D3" s="78"/>
      <c r="E3" s="78"/>
      <c r="F3" s="78"/>
      <c r="G3" s="78"/>
      <c r="H3" s="78"/>
    </row>
    <row r="4" customFormat="false" ht="36" hidden="false" customHeight="true" outlineLevel="0" collapsed="false">
      <c r="A4" s="3" t="s">
        <v>857</v>
      </c>
      <c r="B4" s="3" t="s">
        <v>1548</v>
      </c>
      <c r="C4" s="3" t="s">
        <v>1367</v>
      </c>
      <c r="D4" s="3" t="s">
        <v>1549</v>
      </c>
      <c r="E4" s="3" t="s">
        <v>3</v>
      </c>
      <c r="F4" s="3" t="s">
        <v>5</v>
      </c>
      <c r="G4" s="3" t="s">
        <v>140</v>
      </c>
      <c r="H4" s="3"/>
    </row>
    <row r="5" customFormat="false" ht="30" hidden="false" customHeight="true" outlineLevel="0" collapsed="false">
      <c r="A5" s="27" t="s">
        <v>1550</v>
      </c>
      <c r="B5" s="94" t="s">
        <v>1551</v>
      </c>
      <c r="C5" s="6" t="s">
        <v>1552</v>
      </c>
      <c r="D5" s="164" t="s">
        <v>1553</v>
      </c>
      <c r="E5" s="41" t="s">
        <v>1554</v>
      </c>
      <c r="F5" s="145" t="s">
        <v>109</v>
      </c>
      <c r="G5" s="6" t="s">
        <v>1555</v>
      </c>
      <c r="H5" s="6"/>
    </row>
    <row r="6" customFormat="false" ht="30" hidden="false" customHeight="true" outlineLevel="0" collapsed="false">
      <c r="A6" s="27" t="s">
        <v>1556</v>
      </c>
      <c r="B6" s="94" t="s">
        <v>1557</v>
      </c>
      <c r="C6" s="6" t="s">
        <v>1558</v>
      </c>
      <c r="D6" s="164" t="s">
        <v>1559</v>
      </c>
      <c r="E6" s="41" t="s">
        <v>1560</v>
      </c>
      <c r="F6" s="145" t="s">
        <v>109</v>
      </c>
      <c r="G6" s="6" t="s">
        <v>1561</v>
      </c>
      <c r="H6" s="6"/>
    </row>
    <row r="7" customFormat="false" ht="30" hidden="false" customHeight="true" outlineLevel="0" collapsed="false">
      <c r="A7" s="27" t="s">
        <v>1562</v>
      </c>
      <c r="B7" s="42" t="s">
        <v>1563</v>
      </c>
      <c r="C7" s="6" t="s">
        <v>1564</v>
      </c>
      <c r="D7" s="164" t="s">
        <v>1565</v>
      </c>
      <c r="E7" s="41" t="s">
        <v>1316</v>
      </c>
      <c r="F7" s="171" t="s">
        <v>1566</v>
      </c>
      <c r="G7" s="6" t="s">
        <v>1567</v>
      </c>
      <c r="H7" s="6"/>
    </row>
    <row r="8" customFormat="false" ht="30" hidden="false" customHeight="true" outlineLevel="0" collapsed="false">
      <c r="A8" s="27" t="s">
        <v>1568</v>
      </c>
      <c r="B8" s="42" t="s">
        <v>1569</v>
      </c>
      <c r="C8" s="6" t="s">
        <v>1570</v>
      </c>
      <c r="D8" s="164" t="s">
        <v>1571</v>
      </c>
      <c r="E8" s="41" t="s">
        <v>1316</v>
      </c>
      <c r="F8" s="171" t="s">
        <v>1566</v>
      </c>
      <c r="G8" s="6"/>
      <c r="H8" s="6"/>
    </row>
    <row r="9" customFormat="false" ht="30" hidden="false" customHeight="true" outlineLevel="0" collapsed="false">
      <c r="A9" s="27" t="s">
        <v>1572</v>
      </c>
      <c r="B9" s="94" t="s">
        <v>1573</v>
      </c>
      <c r="C9" s="6" t="s">
        <v>1574</v>
      </c>
      <c r="D9" s="164" t="s">
        <v>1575</v>
      </c>
      <c r="E9" s="41" t="s">
        <v>1576</v>
      </c>
      <c r="F9" s="145" t="s">
        <v>38</v>
      </c>
      <c r="G9" s="6" t="s">
        <v>1577</v>
      </c>
      <c r="H9" s="6"/>
    </row>
    <row r="10" customFormat="false" ht="30" hidden="false" customHeight="true" outlineLevel="0" collapsed="false">
      <c r="A10" s="27" t="s">
        <v>1578</v>
      </c>
      <c r="B10" s="94" t="s">
        <v>1579</v>
      </c>
      <c r="C10" s="6" t="s">
        <v>1580</v>
      </c>
      <c r="D10" s="164" t="s">
        <v>1581</v>
      </c>
      <c r="E10" s="41" t="s">
        <v>1576</v>
      </c>
      <c r="F10" s="145" t="s">
        <v>38</v>
      </c>
      <c r="G10" s="6" t="s">
        <v>1582</v>
      </c>
      <c r="H10" s="6"/>
    </row>
    <row r="11" customFormat="false" ht="30" hidden="false" customHeight="true" outlineLevel="0" collapsed="false">
      <c r="A11" s="27" t="s">
        <v>1583</v>
      </c>
      <c r="B11" s="42" t="s">
        <v>1584</v>
      </c>
      <c r="C11" s="6" t="s">
        <v>1585</v>
      </c>
      <c r="D11" s="164" t="s">
        <v>1586</v>
      </c>
      <c r="E11" s="41" t="s">
        <v>1587</v>
      </c>
      <c r="F11" s="171" t="s">
        <v>1588</v>
      </c>
      <c r="G11" s="6" t="s">
        <v>1589</v>
      </c>
      <c r="H11" s="6"/>
    </row>
    <row r="12" customFormat="false" ht="30" hidden="false" customHeight="true" outlineLevel="0" collapsed="false">
      <c r="A12" s="27" t="s">
        <v>1590</v>
      </c>
      <c r="B12" s="42" t="s">
        <v>1591</v>
      </c>
      <c r="C12" s="6" t="s">
        <v>1592</v>
      </c>
      <c r="D12" s="164" t="s">
        <v>1593</v>
      </c>
      <c r="E12" s="41" t="s">
        <v>1594</v>
      </c>
      <c r="F12" s="171" t="s">
        <v>1588</v>
      </c>
      <c r="G12" s="6" t="s">
        <v>1595</v>
      </c>
      <c r="H12" s="6"/>
    </row>
    <row r="13" customFormat="false" ht="30" hidden="false" customHeight="true" outlineLevel="0" collapsed="false">
      <c r="A13" s="27" t="s">
        <v>1596</v>
      </c>
      <c r="B13" s="42" t="s">
        <v>1597</v>
      </c>
      <c r="C13" s="6" t="s">
        <v>1598</v>
      </c>
      <c r="D13" s="164" t="s">
        <v>1599</v>
      </c>
      <c r="E13" s="41" t="s">
        <v>1600</v>
      </c>
      <c r="F13" s="171" t="s">
        <v>1601</v>
      </c>
      <c r="G13" s="6" t="s">
        <v>1602</v>
      </c>
      <c r="H13" s="6"/>
    </row>
    <row r="15" customFormat="false" ht="21.75" hidden="false" customHeight="true" outlineLevel="0" collapsed="false">
      <c r="A15" s="78" t="s">
        <v>1603</v>
      </c>
      <c r="B15" s="78"/>
      <c r="C15" s="78"/>
      <c r="D15" s="78"/>
      <c r="E15" s="78"/>
      <c r="F15" s="78"/>
      <c r="G15" s="78"/>
      <c r="H15" s="78"/>
    </row>
    <row r="16" customFormat="false" ht="15" hidden="false" customHeight="true" outlineLevel="0" collapsed="false">
      <c r="A16" s="3" t="s">
        <v>1604</v>
      </c>
      <c r="B16" s="3" t="s">
        <v>1605</v>
      </c>
      <c r="C16" s="3" t="s">
        <v>1606</v>
      </c>
      <c r="D16" s="3" t="s">
        <v>1607</v>
      </c>
      <c r="E16" s="3" t="s">
        <v>1608</v>
      </c>
      <c r="F16" s="3" t="s">
        <v>1609</v>
      </c>
      <c r="G16" s="3"/>
      <c r="H16" s="3"/>
    </row>
    <row r="17" customFormat="false" ht="15" hidden="false" customHeight="true" outlineLevel="0" collapsed="false">
      <c r="A17" s="27" t="s">
        <v>1610</v>
      </c>
      <c r="B17" s="116" t="s">
        <v>1611</v>
      </c>
      <c r="C17" s="116" t="s">
        <v>1612</v>
      </c>
      <c r="D17" s="6" t="s">
        <v>1613</v>
      </c>
      <c r="E17" s="164" t="s">
        <v>1614</v>
      </c>
      <c r="F17" s="6" t="s">
        <v>1615</v>
      </c>
      <c r="G17" s="6"/>
      <c r="H17" s="6"/>
    </row>
    <row r="18" customFormat="false" ht="15" hidden="false" customHeight="true" outlineLevel="0" collapsed="false">
      <c r="A18" s="27" t="s">
        <v>1616</v>
      </c>
      <c r="B18" s="116" t="s">
        <v>1617</v>
      </c>
      <c r="C18" s="116" t="s">
        <v>1618</v>
      </c>
      <c r="D18" s="6" t="s">
        <v>1619</v>
      </c>
      <c r="E18" s="164" t="s">
        <v>1620</v>
      </c>
      <c r="F18" s="43" t="s">
        <v>1621</v>
      </c>
      <c r="G18" s="6"/>
      <c r="H18" s="6"/>
    </row>
    <row r="19" customFormat="false" ht="15" hidden="false" customHeight="true" outlineLevel="0" collapsed="false">
      <c r="A19" s="27" t="s">
        <v>1622</v>
      </c>
      <c r="B19" s="116" t="s">
        <v>1623</v>
      </c>
      <c r="C19" s="116" t="s">
        <v>1612</v>
      </c>
      <c r="D19" s="6" t="s">
        <v>1624</v>
      </c>
      <c r="E19" s="164" t="s">
        <v>1625</v>
      </c>
      <c r="F19" s="6" t="s">
        <v>1626</v>
      </c>
      <c r="G19" s="6"/>
      <c r="H19" s="6"/>
    </row>
    <row r="20" customFormat="false" ht="15" hidden="false" customHeight="true" outlineLevel="0" collapsed="false">
      <c r="A20" s="27" t="s">
        <v>1627</v>
      </c>
      <c r="B20" s="116" t="s">
        <v>1628</v>
      </c>
      <c r="C20" s="116" t="s">
        <v>1629</v>
      </c>
      <c r="D20" s="6" t="s">
        <v>1630</v>
      </c>
      <c r="E20" s="164" t="s">
        <v>1631</v>
      </c>
      <c r="F20" s="6" t="s">
        <v>1632</v>
      </c>
      <c r="G20" s="6"/>
      <c r="H20" s="6"/>
    </row>
    <row r="21" customFormat="false" ht="15" hidden="false" customHeight="true" outlineLevel="0" collapsed="false">
      <c r="A21" s="27" t="s">
        <v>1633</v>
      </c>
      <c r="B21" s="116" t="s">
        <v>1634</v>
      </c>
      <c r="C21" s="116" t="s">
        <v>42</v>
      </c>
      <c r="D21" s="6" t="s">
        <v>1635</v>
      </c>
      <c r="E21" s="164" t="s">
        <v>1636</v>
      </c>
      <c r="F21" s="6" t="s">
        <v>1637</v>
      </c>
      <c r="G21" s="6"/>
      <c r="H21" s="6"/>
    </row>
    <row r="22" customFormat="false" ht="15" hidden="false" customHeight="true" outlineLevel="0" collapsed="false">
      <c r="A22" s="27" t="s">
        <v>1638</v>
      </c>
      <c r="B22" s="116" t="s">
        <v>1639</v>
      </c>
      <c r="C22" s="116" t="s">
        <v>1640</v>
      </c>
      <c r="D22" s="6" t="s">
        <v>1641</v>
      </c>
      <c r="E22" s="164" t="s">
        <v>1642</v>
      </c>
      <c r="F22" s="43" t="s">
        <v>1643</v>
      </c>
      <c r="G22" s="6"/>
      <c r="H22" s="6"/>
    </row>
    <row r="23" customFormat="false" ht="15" hidden="false" customHeight="true" outlineLevel="0" collapsed="false">
      <c r="A23" s="27" t="s">
        <v>1644</v>
      </c>
      <c r="B23" s="116" t="s">
        <v>1639</v>
      </c>
      <c r="C23" s="116" t="s">
        <v>1640</v>
      </c>
      <c r="D23" s="6" t="s">
        <v>1645</v>
      </c>
      <c r="E23" s="164" t="s">
        <v>1646</v>
      </c>
      <c r="F23" s="43" t="s">
        <v>1643</v>
      </c>
      <c r="G23" s="6"/>
      <c r="H23" s="6"/>
    </row>
  </sheetData>
  <mergeCells count="4">
    <mergeCell ref="A1:H1"/>
    <mergeCell ref="A2:H2"/>
    <mergeCell ref="A3:H3"/>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32"/>
    <col collapsed="false" customWidth="true" hidden="false" outlineLevel="0" max="3" min="3" style="1" width="24"/>
    <col collapsed="false" customWidth="true" hidden="false" outlineLevel="0" max="4" min="4" style="1" width="55"/>
    <col collapsed="false" customWidth="true" hidden="false" outlineLevel="0" max="5" min="5" style="1" width="12"/>
    <col collapsed="false" customWidth="true" hidden="false" outlineLevel="0" max="6" min="6" style="1" width="22"/>
    <col collapsed="false" customWidth="true" hidden="false" outlineLevel="0" max="7" min="7" style="1" width="18"/>
    <col collapsed="false" customWidth="true" hidden="false" outlineLevel="0" max="8" min="8" style="1" width="32"/>
  </cols>
  <sheetData>
    <row r="1" customFormat="false" ht="27.75" hidden="false" customHeight="true" outlineLevel="0" collapsed="false">
      <c r="A1" s="8" t="s">
        <v>1647</v>
      </c>
      <c r="B1" s="8"/>
      <c r="C1" s="8"/>
      <c r="D1" s="8"/>
      <c r="E1" s="8"/>
      <c r="F1" s="8"/>
      <c r="G1" s="8"/>
      <c r="H1" s="8"/>
    </row>
    <row r="2" customFormat="false" ht="36" hidden="false" customHeight="true" outlineLevel="0" collapsed="false">
      <c r="A2" s="3" t="s">
        <v>132</v>
      </c>
      <c r="B2" s="3" t="s">
        <v>696</v>
      </c>
      <c r="C2" s="3" t="s">
        <v>1648</v>
      </c>
      <c r="D2" s="3" t="s">
        <v>1649</v>
      </c>
      <c r="E2" s="3" t="s">
        <v>1650</v>
      </c>
      <c r="F2" s="3" t="s">
        <v>1651</v>
      </c>
      <c r="G2" s="3" t="s">
        <v>1652</v>
      </c>
      <c r="H2" s="3" t="s">
        <v>1653</v>
      </c>
    </row>
    <row r="3" customFormat="false" ht="27.75" hidden="false" customHeight="true" outlineLevel="0" collapsed="false">
      <c r="A3" s="40" t="n">
        <v>1</v>
      </c>
      <c r="B3" s="115" t="s">
        <v>1654</v>
      </c>
      <c r="C3" s="6" t="s">
        <v>1655</v>
      </c>
      <c r="D3" s="113" t="s">
        <v>1656</v>
      </c>
      <c r="E3" s="116" t="s">
        <v>1657</v>
      </c>
      <c r="F3" s="171" t="s">
        <v>1658</v>
      </c>
      <c r="G3" s="116" t="s">
        <v>10</v>
      </c>
      <c r="H3" s="115" t="s">
        <v>7</v>
      </c>
    </row>
    <row r="4" customFormat="false" ht="27.75" hidden="false" customHeight="true" outlineLevel="0" collapsed="false">
      <c r="A4" s="40" t="n">
        <v>2</v>
      </c>
      <c r="B4" s="115" t="s">
        <v>1659</v>
      </c>
      <c r="C4" s="6" t="s">
        <v>1660</v>
      </c>
      <c r="D4" s="41" t="s">
        <v>1661</v>
      </c>
      <c r="E4" s="116" t="s">
        <v>1657</v>
      </c>
      <c r="F4" s="171" t="s">
        <v>1658</v>
      </c>
      <c r="G4" s="116" t="s">
        <v>16</v>
      </c>
      <c r="H4" s="115" t="s">
        <v>13</v>
      </c>
    </row>
    <row r="5" customFormat="false" ht="27.75" hidden="false" customHeight="true" outlineLevel="0" collapsed="false">
      <c r="A5" s="40" t="n">
        <v>3</v>
      </c>
      <c r="B5" s="115" t="s">
        <v>1662</v>
      </c>
      <c r="C5" s="6" t="s">
        <v>1663</v>
      </c>
      <c r="D5" s="113" t="s">
        <v>1664</v>
      </c>
      <c r="E5" s="116" t="s">
        <v>1657</v>
      </c>
      <c r="F5" s="171" t="s">
        <v>1658</v>
      </c>
      <c r="G5" s="116" t="s">
        <v>21</v>
      </c>
      <c r="H5" s="115" t="s">
        <v>18</v>
      </c>
    </row>
    <row r="6" customFormat="false" ht="27.75" hidden="false" customHeight="true" outlineLevel="0" collapsed="false">
      <c r="A6" s="40" t="n">
        <v>4</v>
      </c>
      <c r="B6" s="115" t="s">
        <v>1665</v>
      </c>
      <c r="C6" s="6" t="s">
        <v>1666</v>
      </c>
      <c r="D6" s="41" t="s">
        <v>1667</v>
      </c>
      <c r="E6" s="116" t="s">
        <v>1668</v>
      </c>
      <c r="F6" s="171" t="s">
        <v>1658</v>
      </c>
      <c r="G6" s="116" t="s">
        <v>26</v>
      </c>
      <c r="H6" s="115" t="s">
        <v>23</v>
      </c>
    </row>
    <row r="7" customFormat="false" ht="27.75" hidden="false" customHeight="true" outlineLevel="0" collapsed="false">
      <c r="A7" s="40" t="n">
        <v>5</v>
      </c>
      <c r="B7" s="115" t="s">
        <v>1669</v>
      </c>
      <c r="C7" s="6" t="s">
        <v>1670</v>
      </c>
      <c r="D7" s="113" t="s">
        <v>1671</v>
      </c>
      <c r="E7" s="116" t="s">
        <v>1672</v>
      </c>
      <c r="F7" s="171" t="s">
        <v>1658</v>
      </c>
      <c r="G7" s="116" t="s">
        <v>31</v>
      </c>
      <c r="H7" s="115" t="s">
        <v>28</v>
      </c>
    </row>
    <row r="8" customFormat="false" ht="27.75" hidden="false" customHeight="true" outlineLevel="0" collapsed="false">
      <c r="A8" s="40" t="n">
        <v>6</v>
      </c>
      <c r="B8" s="115" t="s">
        <v>1673</v>
      </c>
      <c r="C8" s="6" t="s">
        <v>1674</v>
      </c>
      <c r="D8" s="41" t="s">
        <v>1675</v>
      </c>
      <c r="E8" s="116" t="s">
        <v>1657</v>
      </c>
      <c r="F8" s="171" t="s">
        <v>1676</v>
      </c>
      <c r="G8" s="116" t="s">
        <v>1677</v>
      </c>
      <c r="H8" s="115" t="s">
        <v>34</v>
      </c>
    </row>
    <row r="9" customFormat="false" ht="27.75" hidden="false" customHeight="true" outlineLevel="0" collapsed="false">
      <c r="A9" s="40" t="n">
        <v>7</v>
      </c>
      <c r="B9" s="115" t="s">
        <v>1678</v>
      </c>
      <c r="C9" s="6" t="s">
        <v>1679</v>
      </c>
      <c r="D9" s="113" t="s">
        <v>1680</v>
      </c>
      <c r="E9" s="116" t="s">
        <v>1657</v>
      </c>
      <c r="F9" s="171" t="s">
        <v>1658</v>
      </c>
      <c r="G9" s="116" t="s">
        <v>48</v>
      </c>
      <c r="H9" s="115" t="s">
        <v>45</v>
      </c>
    </row>
    <row r="10" customFormat="false" ht="27.75" hidden="false" customHeight="true" outlineLevel="0" collapsed="false">
      <c r="A10" s="40" t="n">
        <v>8</v>
      </c>
      <c r="B10" s="115" t="s">
        <v>1681</v>
      </c>
      <c r="C10" s="6" t="s">
        <v>1679</v>
      </c>
      <c r="D10" s="41" t="s">
        <v>1680</v>
      </c>
      <c r="E10" s="116" t="s">
        <v>1657</v>
      </c>
      <c r="F10" s="171" t="s">
        <v>1658</v>
      </c>
      <c r="G10" s="116" t="s">
        <v>48</v>
      </c>
      <c r="H10" s="115" t="s">
        <v>50</v>
      </c>
    </row>
    <row r="11" customFormat="false" ht="27.75" hidden="false" customHeight="true" outlineLevel="0" collapsed="false">
      <c r="A11" s="40" t="n">
        <v>9</v>
      </c>
      <c r="B11" s="115" t="s">
        <v>1682</v>
      </c>
      <c r="C11" s="6" t="s">
        <v>1679</v>
      </c>
      <c r="D11" s="113" t="s">
        <v>1680</v>
      </c>
      <c r="E11" s="116" t="s">
        <v>1657</v>
      </c>
      <c r="F11" s="171" t="s">
        <v>1658</v>
      </c>
      <c r="G11" s="116" t="s">
        <v>48</v>
      </c>
      <c r="H11" s="115" t="s">
        <v>53</v>
      </c>
    </row>
    <row r="12" customFormat="false" ht="27.75" hidden="false" customHeight="true" outlineLevel="0" collapsed="false">
      <c r="A12" s="40" t="n">
        <v>10</v>
      </c>
      <c r="B12" s="115" t="s">
        <v>1683</v>
      </c>
      <c r="C12" s="6" t="s">
        <v>1679</v>
      </c>
      <c r="D12" s="41" t="s">
        <v>1680</v>
      </c>
      <c r="E12" s="116" t="s">
        <v>1657</v>
      </c>
      <c r="F12" s="171" t="s">
        <v>1658</v>
      </c>
      <c r="G12" s="116" t="s">
        <v>48</v>
      </c>
      <c r="H12" s="115" t="s">
        <v>56</v>
      </c>
    </row>
    <row r="13" customFormat="false" ht="27.75" hidden="false" customHeight="true" outlineLevel="0" collapsed="false">
      <c r="A13" s="40" t="n">
        <v>11</v>
      </c>
      <c r="B13" s="115" t="s">
        <v>1684</v>
      </c>
      <c r="C13" s="6" t="s">
        <v>1679</v>
      </c>
      <c r="D13" s="113" t="s">
        <v>1680</v>
      </c>
      <c r="E13" s="116" t="s">
        <v>1657</v>
      </c>
      <c r="F13" s="171" t="s">
        <v>1658</v>
      </c>
      <c r="G13" s="116" t="s">
        <v>48</v>
      </c>
      <c r="H13" s="115" t="s">
        <v>59</v>
      </c>
    </row>
    <row r="14" customFormat="false" ht="27.75" hidden="false" customHeight="true" outlineLevel="0" collapsed="false">
      <c r="A14" s="40" t="n">
        <v>12</v>
      </c>
      <c r="B14" s="115" t="s">
        <v>1685</v>
      </c>
      <c r="C14" s="6" t="s">
        <v>1686</v>
      </c>
      <c r="D14" s="41" t="s">
        <v>1687</v>
      </c>
      <c r="E14" s="116" t="s">
        <v>1688</v>
      </c>
      <c r="F14" s="171" t="s">
        <v>1658</v>
      </c>
      <c r="G14" s="116" t="s">
        <v>65</v>
      </c>
      <c r="H14" s="115" t="s">
        <v>62</v>
      </c>
    </row>
    <row r="15" customFormat="false" ht="27.75" hidden="false" customHeight="true" outlineLevel="0" collapsed="false">
      <c r="A15" s="40" t="n">
        <v>13</v>
      </c>
      <c r="B15" s="115" t="s">
        <v>1689</v>
      </c>
      <c r="C15" s="6" t="s">
        <v>1686</v>
      </c>
      <c r="D15" s="113" t="s">
        <v>1687</v>
      </c>
      <c r="E15" s="116" t="s">
        <v>1688</v>
      </c>
      <c r="F15" s="171" t="s">
        <v>1658</v>
      </c>
      <c r="G15" s="116" t="s">
        <v>65</v>
      </c>
      <c r="H15" s="115" t="s">
        <v>68</v>
      </c>
    </row>
    <row r="16" customFormat="false" ht="27.75" hidden="false" customHeight="true" outlineLevel="0" collapsed="false">
      <c r="A16" s="40" t="n">
        <v>14</v>
      </c>
      <c r="B16" s="115" t="s">
        <v>1690</v>
      </c>
      <c r="C16" s="6" t="s">
        <v>1576</v>
      </c>
      <c r="D16" s="41" t="s">
        <v>1691</v>
      </c>
      <c r="E16" s="116" t="s">
        <v>1576</v>
      </c>
      <c r="F16" s="172" t="s">
        <v>1692</v>
      </c>
      <c r="G16" s="116" t="s">
        <v>1693</v>
      </c>
      <c r="H16" s="115" t="s">
        <v>71</v>
      </c>
    </row>
    <row r="17" customFormat="false" ht="27.75" hidden="false" customHeight="true" outlineLevel="0" collapsed="false">
      <c r="A17" s="40" t="n">
        <v>15</v>
      </c>
      <c r="B17" s="115" t="s">
        <v>1694</v>
      </c>
      <c r="C17" s="6" t="s">
        <v>1695</v>
      </c>
      <c r="D17" s="113" t="s">
        <v>1696</v>
      </c>
      <c r="E17" s="116" t="s">
        <v>1657</v>
      </c>
      <c r="F17" s="171" t="s">
        <v>1676</v>
      </c>
      <c r="G17" s="116" t="s">
        <v>79</v>
      </c>
      <c r="H17" s="115" t="s">
        <v>76</v>
      </c>
    </row>
    <row r="18" customFormat="false" ht="27.75" hidden="false" customHeight="true" outlineLevel="0" collapsed="false">
      <c r="A18" s="40" t="n">
        <v>16</v>
      </c>
      <c r="B18" s="115" t="s">
        <v>1697</v>
      </c>
      <c r="C18" s="6" t="s">
        <v>1698</v>
      </c>
      <c r="D18" s="41" t="s">
        <v>1699</v>
      </c>
      <c r="E18" s="116" t="s">
        <v>1657</v>
      </c>
      <c r="F18" s="141" t="s">
        <v>1700</v>
      </c>
      <c r="G18" s="116" t="s">
        <v>1701</v>
      </c>
      <c r="H18" s="115" t="s">
        <v>81</v>
      </c>
    </row>
    <row r="19" customFormat="false" ht="27.75" hidden="false" customHeight="true" outlineLevel="0" collapsed="false">
      <c r="A19" s="40" t="n">
        <v>17</v>
      </c>
      <c r="B19" s="115" t="s">
        <v>1702</v>
      </c>
      <c r="C19" s="6" t="s">
        <v>1698</v>
      </c>
      <c r="D19" s="113" t="s">
        <v>1703</v>
      </c>
      <c r="E19" s="116" t="s">
        <v>1657</v>
      </c>
      <c r="F19" s="141" t="s">
        <v>1700</v>
      </c>
      <c r="G19" s="116" t="s">
        <v>1704</v>
      </c>
      <c r="H19" s="115" t="s">
        <v>1705</v>
      </c>
    </row>
    <row r="20" customFormat="false" ht="27.75" hidden="false" customHeight="true" outlineLevel="0" collapsed="false">
      <c r="A20" s="40" t="n">
        <v>18</v>
      </c>
      <c r="B20" s="115" t="s">
        <v>1706</v>
      </c>
      <c r="C20" s="6" t="s">
        <v>1707</v>
      </c>
      <c r="D20" s="41" t="s">
        <v>1708</v>
      </c>
      <c r="E20" s="116" t="s">
        <v>1668</v>
      </c>
      <c r="F20" s="145" t="s">
        <v>1709</v>
      </c>
      <c r="G20" s="116" t="s">
        <v>1710</v>
      </c>
      <c r="H20" s="115" t="s">
        <v>87</v>
      </c>
    </row>
    <row r="21" customFormat="false" ht="27.75" hidden="false" customHeight="true" outlineLevel="0" collapsed="false">
      <c r="A21" s="40" t="n">
        <v>19</v>
      </c>
      <c r="B21" s="115" t="s">
        <v>1711</v>
      </c>
      <c r="C21" s="6" t="s">
        <v>1707</v>
      </c>
      <c r="D21" s="113" t="s">
        <v>1712</v>
      </c>
      <c r="E21" s="116" t="s">
        <v>1668</v>
      </c>
      <c r="F21" s="145" t="s">
        <v>1709</v>
      </c>
      <c r="G21" s="116" t="s">
        <v>1713</v>
      </c>
      <c r="H21" s="115" t="s">
        <v>1714</v>
      </c>
    </row>
    <row r="22" customFormat="false" ht="27.75" hidden="false" customHeight="true" outlineLevel="0" collapsed="false">
      <c r="A22" s="40" t="n">
        <v>20</v>
      </c>
      <c r="B22" s="115" t="s">
        <v>1715</v>
      </c>
      <c r="C22" s="6" t="s">
        <v>1716</v>
      </c>
      <c r="D22" s="41" t="s">
        <v>1717</v>
      </c>
      <c r="E22" s="116" t="s">
        <v>1657</v>
      </c>
      <c r="F22" s="171" t="s">
        <v>1676</v>
      </c>
      <c r="G22" s="116" t="s">
        <v>96</v>
      </c>
      <c r="H22" s="115" t="s">
        <v>93</v>
      </c>
    </row>
    <row r="23" customFormat="false" ht="27.75" hidden="false" customHeight="true" outlineLevel="0" collapsed="false">
      <c r="A23" s="40" t="n">
        <v>21</v>
      </c>
      <c r="B23" s="115" t="s">
        <v>1718</v>
      </c>
      <c r="C23" s="6" t="s">
        <v>1670</v>
      </c>
      <c r="D23" s="113" t="s">
        <v>1719</v>
      </c>
      <c r="E23" s="116" t="s">
        <v>1720</v>
      </c>
      <c r="F23" s="145" t="s">
        <v>1721</v>
      </c>
      <c r="G23" s="116" t="s">
        <v>1722</v>
      </c>
      <c r="H23" s="115" t="s">
        <v>1723</v>
      </c>
    </row>
    <row r="24" customFormat="false" ht="27.75" hidden="false" customHeight="true" outlineLevel="0" collapsed="false">
      <c r="A24" s="40" t="n">
        <v>22</v>
      </c>
      <c r="B24" s="115" t="s">
        <v>1724</v>
      </c>
      <c r="C24" s="6" t="s">
        <v>1725</v>
      </c>
      <c r="D24" s="41" t="s">
        <v>1726</v>
      </c>
      <c r="E24" s="116" t="s">
        <v>1727</v>
      </c>
      <c r="F24" s="172" t="s">
        <v>1728</v>
      </c>
      <c r="G24" s="116" t="s">
        <v>1729</v>
      </c>
      <c r="H24" s="173" t="s">
        <v>1730</v>
      </c>
    </row>
    <row r="25" customFormat="false" ht="27.75" hidden="false" customHeight="true" outlineLevel="0" collapsed="false">
      <c r="A25" s="40" t="n">
        <v>23</v>
      </c>
      <c r="B25" s="115" t="s">
        <v>1731</v>
      </c>
      <c r="C25" s="6" t="s">
        <v>1732</v>
      </c>
      <c r="D25" s="113" t="s">
        <v>1733</v>
      </c>
      <c r="E25" s="116" t="s">
        <v>1692</v>
      </c>
      <c r="F25" s="172" t="s">
        <v>1734</v>
      </c>
      <c r="G25" s="116" t="s">
        <v>1710</v>
      </c>
      <c r="H25" s="173" t="s">
        <v>1730</v>
      </c>
    </row>
    <row r="26" customFormat="false" ht="27.75" hidden="false" customHeight="true" outlineLevel="0" collapsed="false">
      <c r="A26" s="40" t="n">
        <v>24</v>
      </c>
      <c r="B26" s="115" t="s">
        <v>1735</v>
      </c>
      <c r="C26" s="6" t="s">
        <v>1736</v>
      </c>
      <c r="D26" s="41" t="s">
        <v>1737</v>
      </c>
      <c r="E26" s="116" t="s">
        <v>1692</v>
      </c>
      <c r="F26" s="172" t="s">
        <v>1738</v>
      </c>
      <c r="G26" s="116" t="s">
        <v>16</v>
      </c>
      <c r="H26" s="173" t="s">
        <v>1739</v>
      </c>
    </row>
    <row r="27" customFormat="false" ht="27.75" hidden="false" customHeight="true" outlineLevel="0" collapsed="false">
      <c r="A27" s="40" t="n">
        <v>25</v>
      </c>
      <c r="B27" s="115" t="s">
        <v>1740</v>
      </c>
      <c r="C27" s="6" t="s">
        <v>1741</v>
      </c>
      <c r="D27" s="113" t="s">
        <v>1742</v>
      </c>
      <c r="E27" s="116" t="s">
        <v>1692</v>
      </c>
      <c r="F27" s="172" t="s">
        <v>1743</v>
      </c>
      <c r="G27" s="116" t="s">
        <v>1710</v>
      </c>
      <c r="H27" s="173" t="s">
        <v>1744</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9" min="3" style="0" width="13"/>
    <col collapsed="false" customWidth="true" hidden="false" outlineLevel="0" max="10" min="10" style="0" width="16"/>
    <col collapsed="false" customWidth="true" hidden="false" outlineLevel="0" max="11" min="11" style="0" width="26"/>
    <col collapsed="false" customWidth="true" hidden="false" outlineLevel="0" max="12" min="12" style="0" width="4"/>
  </cols>
  <sheetData>
    <row r="1" customFormat="false" ht="27.75" hidden="false" customHeight="true" outlineLevel="0" collapsed="false">
      <c r="A1" s="8" t="s">
        <v>1745</v>
      </c>
      <c r="B1" s="8"/>
      <c r="C1" s="8"/>
      <c r="D1" s="8"/>
      <c r="E1" s="8"/>
      <c r="F1" s="8"/>
      <c r="G1" s="8"/>
      <c r="H1" s="8"/>
      <c r="I1" s="8"/>
      <c r="J1" s="8"/>
      <c r="K1" s="8"/>
      <c r="L1" s="8"/>
    </row>
    <row r="2" customFormat="false" ht="51.75" hidden="false" customHeight="true" outlineLevel="0" collapsed="false">
      <c r="A2" s="121" t="s">
        <v>1746</v>
      </c>
      <c r="B2" s="121"/>
      <c r="C2" s="121"/>
      <c r="D2" s="121"/>
      <c r="E2" s="121"/>
      <c r="F2" s="121"/>
      <c r="G2" s="121"/>
      <c r="H2" s="121"/>
      <c r="I2" s="121"/>
      <c r="J2" s="121"/>
      <c r="K2" s="121"/>
      <c r="L2" s="121"/>
    </row>
    <row r="3" customFormat="false" ht="42" hidden="false" customHeight="true" outlineLevel="0" collapsed="false">
      <c r="A3" s="3" t="s">
        <v>1747</v>
      </c>
      <c r="B3" s="3" t="s">
        <v>1748</v>
      </c>
      <c r="C3" s="3" t="s">
        <v>1749</v>
      </c>
      <c r="D3" s="3" t="s">
        <v>1750</v>
      </c>
      <c r="E3" s="3" t="s">
        <v>1751</v>
      </c>
      <c r="F3" s="3" t="s">
        <v>1752</v>
      </c>
      <c r="G3" s="3" t="s">
        <v>1753</v>
      </c>
      <c r="H3" s="3" t="s">
        <v>1754</v>
      </c>
      <c r="I3" s="3" t="s">
        <v>1755</v>
      </c>
      <c r="J3" s="3" t="s">
        <v>1756</v>
      </c>
      <c r="K3" s="3" t="s">
        <v>1367</v>
      </c>
      <c r="L3" s="3"/>
    </row>
    <row r="4" customFormat="false" ht="15" hidden="false" customHeight="false" outlineLevel="0" collapsed="false">
      <c r="A4" s="40" t="n">
        <v>1</v>
      </c>
      <c r="B4" s="40" t="s">
        <v>795</v>
      </c>
      <c r="C4" s="174" t="n">
        <v>20091</v>
      </c>
      <c r="D4" s="174" t="n">
        <v>18905</v>
      </c>
      <c r="E4" s="174" t="n">
        <v>17418</v>
      </c>
      <c r="F4" s="174" t="n">
        <v>17905</v>
      </c>
      <c r="G4" s="44" t="n">
        <v>0</v>
      </c>
      <c r="H4" s="70" t="n">
        <v>4999</v>
      </c>
      <c r="I4" s="66" t="n">
        <v>15092</v>
      </c>
      <c r="J4" s="15" t="s">
        <v>1757</v>
      </c>
      <c r="K4" s="41" t="s">
        <v>1758</v>
      </c>
      <c r="L4" s="6"/>
    </row>
    <row r="5" customFormat="false" ht="15" hidden="false" customHeight="false" outlineLevel="0" collapsed="false">
      <c r="A5" s="40" t="n">
        <v>2</v>
      </c>
      <c r="B5" s="40" t="s">
        <v>1759</v>
      </c>
      <c r="C5" s="66" t="n">
        <v>20050</v>
      </c>
      <c r="D5" s="66" t="n">
        <v>18869</v>
      </c>
      <c r="E5" s="66" t="n">
        <v>17388</v>
      </c>
      <c r="F5" s="66" t="n">
        <v>17869</v>
      </c>
      <c r="G5" s="44" t="n">
        <v>0</v>
      </c>
      <c r="H5" s="70" t="n">
        <v>4999</v>
      </c>
      <c r="I5" s="66" t="n">
        <v>15051</v>
      </c>
      <c r="J5" s="15" t="s">
        <v>1757</v>
      </c>
      <c r="K5" s="41" t="s">
        <v>1758</v>
      </c>
      <c r="L5" s="6"/>
    </row>
    <row r="6" customFormat="false" ht="15" hidden="false" customHeight="false" outlineLevel="0" collapsed="false">
      <c r="A6" s="40" t="n">
        <v>3</v>
      </c>
      <c r="B6" s="40" t="s">
        <v>1760</v>
      </c>
      <c r="C6" s="174" t="n">
        <v>20000</v>
      </c>
      <c r="D6" s="174" t="n">
        <v>18825</v>
      </c>
      <c r="E6" s="174" t="n">
        <v>17350</v>
      </c>
      <c r="F6" s="174" t="n">
        <v>17825</v>
      </c>
      <c r="G6" s="44" t="n">
        <v>0</v>
      </c>
      <c r="H6" s="70" t="n">
        <v>4999</v>
      </c>
      <c r="I6" s="66" t="n">
        <v>15001</v>
      </c>
      <c r="J6" s="15" t="s">
        <v>1757</v>
      </c>
      <c r="K6" s="41" t="s">
        <v>1758</v>
      </c>
      <c r="L6" s="6"/>
    </row>
    <row r="7" customFormat="false" ht="15" hidden="false" customHeight="false" outlineLevel="0" collapsed="false">
      <c r="A7" s="40" t="n">
        <v>4</v>
      </c>
      <c r="B7" s="40" t="s">
        <v>1761</v>
      </c>
      <c r="C7" s="66" t="n">
        <v>19940</v>
      </c>
      <c r="D7" s="66" t="n">
        <v>18772</v>
      </c>
      <c r="E7" s="66" t="n">
        <v>17305</v>
      </c>
      <c r="F7" s="66" t="n">
        <v>17772</v>
      </c>
      <c r="G7" s="44" t="n">
        <v>0</v>
      </c>
      <c r="H7" s="70" t="n">
        <v>4999</v>
      </c>
      <c r="I7" s="66" t="n">
        <v>14941</v>
      </c>
      <c r="J7" s="15" t="s">
        <v>1757</v>
      </c>
      <c r="K7" s="41" t="s">
        <v>1758</v>
      </c>
      <c r="L7" s="6"/>
    </row>
    <row r="8" customFormat="false" ht="15" hidden="false" customHeight="false" outlineLevel="0" collapsed="false">
      <c r="A8" s="40" t="n">
        <v>5</v>
      </c>
      <c r="B8" s="40" t="s">
        <v>1762</v>
      </c>
      <c r="C8" s="174" t="n">
        <v>19871</v>
      </c>
      <c r="D8" s="174" t="n">
        <v>18712</v>
      </c>
      <c r="E8" s="174" t="n">
        <v>17253</v>
      </c>
      <c r="F8" s="174" t="n">
        <v>17712</v>
      </c>
      <c r="G8" s="44" t="n">
        <v>0</v>
      </c>
      <c r="H8" s="70" t="n">
        <v>4999</v>
      </c>
      <c r="I8" s="66" t="n">
        <v>14872</v>
      </c>
      <c r="J8" s="15" t="s">
        <v>1757</v>
      </c>
      <c r="K8" s="41" t="s">
        <v>1758</v>
      </c>
      <c r="L8" s="6"/>
    </row>
    <row r="9" customFormat="false" ht="15" hidden="false" customHeight="false" outlineLevel="0" collapsed="false">
      <c r="A9" s="40" t="n">
        <v>6</v>
      </c>
      <c r="B9" s="40" t="s">
        <v>1763</v>
      </c>
      <c r="C9" s="66" t="n">
        <v>19794</v>
      </c>
      <c r="D9" s="66" t="n">
        <v>18645</v>
      </c>
      <c r="E9" s="66" t="n">
        <v>17196</v>
      </c>
      <c r="F9" s="66" t="n">
        <v>17645</v>
      </c>
      <c r="G9" s="44" t="n">
        <v>0</v>
      </c>
      <c r="H9" s="70" t="n">
        <v>4999</v>
      </c>
      <c r="I9" s="66" t="n">
        <v>14795</v>
      </c>
      <c r="J9" s="15" t="s">
        <v>1757</v>
      </c>
      <c r="K9" s="41" t="s">
        <v>1758</v>
      </c>
      <c r="L9" s="6"/>
    </row>
    <row r="10" customFormat="false" ht="15" hidden="false" customHeight="false" outlineLevel="0" collapsed="false">
      <c r="A10" s="40" t="n">
        <v>7</v>
      </c>
      <c r="B10" s="40" t="s">
        <v>1764</v>
      </c>
      <c r="C10" s="174" t="n">
        <v>19714</v>
      </c>
      <c r="D10" s="174" t="n">
        <v>18575</v>
      </c>
      <c r="E10" s="174" t="n">
        <v>17136</v>
      </c>
      <c r="F10" s="174" t="n">
        <v>17575</v>
      </c>
      <c r="G10" s="44" t="n">
        <v>0</v>
      </c>
      <c r="H10" s="70" t="n">
        <v>4998</v>
      </c>
      <c r="I10" s="66" t="n">
        <v>14716</v>
      </c>
      <c r="J10" s="15" t="s">
        <v>1757</v>
      </c>
      <c r="K10" s="41" t="s">
        <v>1758</v>
      </c>
      <c r="L10" s="6"/>
    </row>
    <row r="11" customFormat="false" ht="15" hidden="false" customHeight="false" outlineLevel="0" collapsed="false">
      <c r="A11" s="40" t="n">
        <v>8</v>
      </c>
      <c r="B11" s="40" t="s">
        <v>1765</v>
      </c>
      <c r="C11" s="66" t="n">
        <v>19634</v>
      </c>
      <c r="D11" s="66" t="n">
        <v>18505</v>
      </c>
      <c r="E11" s="66" t="n">
        <v>17076</v>
      </c>
      <c r="F11" s="66" t="n">
        <v>17505</v>
      </c>
      <c r="G11" s="44" t="n">
        <v>0</v>
      </c>
      <c r="H11" s="70" t="n">
        <v>4998</v>
      </c>
      <c r="I11" s="66" t="n">
        <v>14636</v>
      </c>
      <c r="J11" s="15" t="s">
        <v>1757</v>
      </c>
      <c r="K11" s="41" t="s">
        <v>1758</v>
      </c>
      <c r="L11" s="6"/>
    </row>
    <row r="12" customFormat="false" ht="15" hidden="false" customHeight="false" outlineLevel="0" collapsed="false">
      <c r="A12" s="40" t="n">
        <v>9</v>
      </c>
      <c r="B12" s="40" t="s">
        <v>1766</v>
      </c>
      <c r="C12" s="174" t="n">
        <v>19559</v>
      </c>
      <c r="D12" s="174" t="n">
        <v>18440</v>
      </c>
      <c r="E12" s="174" t="n">
        <v>17019</v>
      </c>
      <c r="F12" s="174" t="n">
        <v>17439</v>
      </c>
      <c r="G12" s="44" t="n">
        <v>0</v>
      </c>
      <c r="H12" s="70" t="n">
        <v>4997</v>
      </c>
      <c r="I12" s="66" t="n">
        <v>14562</v>
      </c>
      <c r="J12" s="15" t="s">
        <v>1757</v>
      </c>
      <c r="K12" s="41" t="s">
        <v>1758</v>
      </c>
      <c r="L12" s="6"/>
    </row>
    <row r="13" customFormat="false" ht="15" hidden="false" customHeight="false" outlineLevel="0" collapsed="false">
      <c r="A13" s="40" t="n">
        <v>10</v>
      </c>
      <c r="B13" s="40" t="s">
        <v>1767</v>
      </c>
      <c r="C13" s="66" t="n">
        <v>19494</v>
      </c>
      <c r="D13" s="66" t="n">
        <v>18383</v>
      </c>
      <c r="E13" s="66" t="n">
        <v>16970</v>
      </c>
      <c r="F13" s="66" t="n">
        <v>17382</v>
      </c>
      <c r="G13" s="44" t="n">
        <v>0</v>
      </c>
      <c r="H13" s="70" t="n">
        <v>4997</v>
      </c>
      <c r="I13" s="66" t="n">
        <v>14497</v>
      </c>
      <c r="J13" s="15" t="s">
        <v>1757</v>
      </c>
      <c r="K13" s="41" t="s">
        <v>1758</v>
      </c>
      <c r="L13" s="6"/>
    </row>
    <row r="14" customFormat="false" ht="15" hidden="false" customHeight="false" outlineLevel="0" collapsed="false">
      <c r="A14" s="40" t="n">
        <v>11</v>
      </c>
      <c r="B14" s="40" t="s">
        <v>1768</v>
      </c>
      <c r="C14" s="174" t="n">
        <v>19443</v>
      </c>
      <c r="D14" s="174" t="n">
        <v>18339</v>
      </c>
      <c r="E14" s="174" t="n">
        <v>16932</v>
      </c>
      <c r="F14" s="174" t="n">
        <v>17338</v>
      </c>
      <c r="G14" s="44" t="n">
        <v>0</v>
      </c>
      <c r="H14" s="70" t="n">
        <v>4996</v>
      </c>
      <c r="I14" s="66" t="n">
        <v>14447</v>
      </c>
      <c r="J14" s="15" t="s">
        <v>1757</v>
      </c>
      <c r="K14" s="41" t="s">
        <v>1758</v>
      </c>
      <c r="L14" s="6"/>
    </row>
    <row r="15" customFormat="false" ht="15" hidden="false" customHeight="false" outlineLevel="0" collapsed="false">
      <c r="A15" s="40" t="n">
        <v>12</v>
      </c>
      <c r="B15" s="40" t="s">
        <v>1769</v>
      </c>
      <c r="C15" s="66" t="n">
        <v>19411</v>
      </c>
      <c r="D15" s="66" t="n">
        <v>18312</v>
      </c>
      <c r="E15" s="66" t="n">
        <v>16908</v>
      </c>
      <c r="F15" s="66" t="n">
        <v>17310</v>
      </c>
      <c r="G15" s="44" t="n">
        <v>0</v>
      </c>
      <c r="H15" s="70" t="n">
        <v>4994</v>
      </c>
      <c r="I15" s="66" t="n">
        <v>14417</v>
      </c>
      <c r="J15" s="15" t="s">
        <v>1757</v>
      </c>
      <c r="K15" s="41" t="s">
        <v>1758</v>
      </c>
      <c r="L15" s="6"/>
    </row>
    <row r="16" customFormat="false" ht="15" hidden="false" customHeight="false" outlineLevel="0" collapsed="false">
      <c r="A16" s="40" t="n">
        <v>13</v>
      </c>
      <c r="B16" s="40" t="s">
        <v>1770</v>
      </c>
      <c r="C16" s="44" t="n">
        <v>19400</v>
      </c>
      <c r="D16" s="44" t="n">
        <v>18304</v>
      </c>
      <c r="E16" s="44" t="n">
        <v>16900</v>
      </c>
      <c r="F16" s="44" t="n">
        <v>17300</v>
      </c>
      <c r="G16" s="44" t="n">
        <v>0</v>
      </c>
      <c r="H16" s="70" t="n">
        <v>4993</v>
      </c>
      <c r="I16" s="66" t="n">
        <v>14407</v>
      </c>
      <c r="J16" s="46" t="s">
        <v>1771</v>
      </c>
      <c r="K16" s="41" t="s">
        <v>108</v>
      </c>
      <c r="L16" s="6"/>
    </row>
    <row r="17" customFormat="false" ht="15" hidden="false" customHeight="false" outlineLevel="0" collapsed="false">
      <c r="A17" s="40" t="n">
        <v>14</v>
      </c>
      <c r="B17" s="40" t="s">
        <v>1772</v>
      </c>
      <c r="C17" s="44" t="n">
        <v>19411</v>
      </c>
      <c r="D17" s="44" t="n">
        <v>18316</v>
      </c>
      <c r="E17" s="44" t="n">
        <v>16908</v>
      </c>
      <c r="F17" s="44" t="n">
        <v>17311</v>
      </c>
      <c r="G17" s="44" t="n">
        <v>0</v>
      </c>
      <c r="H17" s="70" t="n">
        <v>4990</v>
      </c>
      <c r="I17" s="66" t="n">
        <v>14421</v>
      </c>
      <c r="J17" s="46" t="s">
        <v>1771</v>
      </c>
      <c r="K17" s="41" t="s">
        <v>108</v>
      </c>
      <c r="L17" s="6"/>
    </row>
    <row r="18" customFormat="false" ht="15" hidden="false" customHeight="false" outlineLevel="0" collapsed="false">
      <c r="A18" s="40" t="n">
        <v>15</v>
      </c>
      <c r="B18" s="40" t="s">
        <v>1773</v>
      </c>
      <c r="C18" s="174" t="n">
        <v>19444</v>
      </c>
      <c r="D18" s="174" t="n">
        <v>18348</v>
      </c>
      <c r="E18" s="174" t="n">
        <v>16933</v>
      </c>
      <c r="F18" s="174" t="n">
        <v>17340</v>
      </c>
      <c r="G18" s="44" t="n">
        <v>0</v>
      </c>
      <c r="H18" s="70" t="n">
        <v>4988</v>
      </c>
      <c r="I18" s="66" t="n">
        <v>14456</v>
      </c>
      <c r="J18" s="15" t="s">
        <v>1757</v>
      </c>
      <c r="K18" s="41" t="s">
        <v>1758</v>
      </c>
      <c r="L18" s="6"/>
    </row>
    <row r="19" customFormat="false" ht="15" hidden="false" customHeight="false" outlineLevel="0" collapsed="false">
      <c r="A19" s="40" t="n">
        <v>16</v>
      </c>
      <c r="B19" s="40" t="s">
        <v>1774</v>
      </c>
      <c r="C19" s="66" t="n">
        <v>19495</v>
      </c>
      <c r="D19" s="66" t="n">
        <v>18397</v>
      </c>
      <c r="E19" s="66" t="n">
        <v>16971</v>
      </c>
      <c r="F19" s="66" t="n">
        <v>17387</v>
      </c>
      <c r="G19" s="44" t="n">
        <v>0</v>
      </c>
      <c r="H19" s="70" t="n">
        <v>4984</v>
      </c>
      <c r="I19" s="66" t="n">
        <v>14511</v>
      </c>
      <c r="J19" s="15" t="s">
        <v>1757</v>
      </c>
      <c r="K19" s="41" t="s">
        <v>1758</v>
      </c>
      <c r="L19" s="6"/>
    </row>
    <row r="20" customFormat="false" ht="15" hidden="false" customHeight="false" outlineLevel="0" collapsed="false">
      <c r="A20" s="40" t="n">
        <v>17</v>
      </c>
      <c r="B20" s="40" t="s">
        <v>1775</v>
      </c>
      <c r="C20" s="174" t="n">
        <v>19562</v>
      </c>
      <c r="D20" s="174" t="n">
        <v>18461</v>
      </c>
      <c r="E20" s="174" t="n">
        <v>17022</v>
      </c>
      <c r="F20" s="174" t="n">
        <v>17449</v>
      </c>
      <c r="G20" s="44" t="n">
        <v>0</v>
      </c>
      <c r="H20" s="70" t="n">
        <v>4980</v>
      </c>
      <c r="I20" s="66" t="n">
        <v>14582</v>
      </c>
      <c r="J20" s="15" t="s">
        <v>1757</v>
      </c>
      <c r="K20" s="41" t="s">
        <v>1758</v>
      </c>
      <c r="L20" s="6"/>
    </row>
    <row r="21" customFormat="false" ht="15" hidden="false" customHeight="false" outlineLevel="0" collapsed="false">
      <c r="A21" s="40" t="n">
        <v>18</v>
      </c>
      <c r="B21" s="40" t="s">
        <v>1776</v>
      </c>
      <c r="C21" s="66" t="n">
        <v>19640</v>
      </c>
      <c r="D21" s="66" t="n">
        <v>18537</v>
      </c>
      <c r="E21" s="66" t="n">
        <v>17082</v>
      </c>
      <c r="F21" s="66" t="n">
        <v>17521</v>
      </c>
      <c r="G21" s="44" t="n">
        <v>0</v>
      </c>
      <c r="H21" s="70" t="n">
        <v>4974</v>
      </c>
      <c r="I21" s="66" t="n">
        <v>14666</v>
      </c>
      <c r="J21" s="15" t="s">
        <v>1757</v>
      </c>
      <c r="K21" s="41" t="s">
        <v>1758</v>
      </c>
      <c r="L21" s="6"/>
    </row>
    <row r="22" customFormat="false" ht="15" hidden="false" customHeight="false" outlineLevel="0" collapsed="false">
      <c r="A22" s="40" t="n">
        <v>19</v>
      </c>
      <c r="B22" s="40" t="s">
        <v>1777</v>
      </c>
      <c r="C22" s="174" t="n">
        <v>19725</v>
      </c>
      <c r="D22" s="174" t="n">
        <v>18621</v>
      </c>
      <c r="E22" s="174" t="n">
        <v>17149</v>
      </c>
      <c r="F22" s="174" t="n">
        <v>17603</v>
      </c>
      <c r="G22" s="44" t="n">
        <v>0</v>
      </c>
      <c r="H22" s="70" t="n">
        <v>4967</v>
      </c>
      <c r="I22" s="66" t="n">
        <v>14758</v>
      </c>
      <c r="J22" s="15" t="s">
        <v>1757</v>
      </c>
      <c r="K22" s="41" t="s">
        <v>1758</v>
      </c>
      <c r="L22" s="6"/>
    </row>
    <row r="23" customFormat="false" ht="15" hidden="false" customHeight="false" outlineLevel="0" collapsed="false">
      <c r="A23" s="40" t="n">
        <v>20</v>
      </c>
      <c r="B23" s="40" t="s">
        <v>1778</v>
      </c>
      <c r="C23" s="66" t="n">
        <v>19813</v>
      </c>
      <c r="D23" s="66" t="n">
        <v>18709</v>
      </c>
      <c r="E23" s="66" t="n">
        <v>17222</v>
      </c>
      <c r="F23" s="66" t="n">
        <v>17690</v>
      </c>
      <c r="G23" s="44" t="n">
        <v>0</v>
      </c>
      <c r="H23" s="70" t="n">
        <v>4958</v>
      </c>
      <c r="I23" s="66" t="n">
        <v>14855</v>
      </c>
      <c r="J23" s="15" t="s">
        <v>1757</v>
      </c>
      <c r="K23" s="41" t="s">
        <v>1758</v>
      </c>
      <c r="L23" s="6"/>
    </row>
    <row r="24" customFormat="false" ht="15" hidden="false" customHeight="false" outlineLevel="0" collapsed="false">
      <c r="A24" s="40" t="n">
        <v>21</v>
      </c>
      <c r="B24" s="40" t="s">
        <v>1779</v>
      </c>
      <c r="C24" s="174" t="n">
        <v>19902</v>
      </c>
      <c r="D24" s="174" t="n">
        <v>18800</v>
      </c>
      <c r="E24" s="174" t="n">
        <v>17303</v>
      </c>
      <c r="F24" s="174" t="n">
        <v>17783</v>
      </c>
      <c r="G24" s="44" t="n">
        <v>0</v>
      </c>
      <c r="H24" s="70" t="n">
        <v>4948</v>
      </c>
      <c r="I24" s="66" t="n">
        <v>14954</v>
      </c>
      <c r="J24" s="15" t="s">
        <v>1757</v>
      </c>
      <c r="K24" s="41" t="s">
        <v>1758</v>
      </c>
      <c r="L24" s="6"/>
    </row>
    <row r="25" customFormat="false" ht="15" hidden="false" customHeight="false" outlineLevel="0" collapsed="false">
      <c r="A25" s="40" t="n">
        <v>22</v>
      </c>
      <c r="B25" s="40" t="s">
        <v>1780</v>
      </c>
      <c r="C25" s="66" t="n">
        <v>19990</v>
      </c>
      <c r="D25" s="66" t="n">
        <v>18891</v>
      </c>
      <c r="E25" s="66" t="n">
        <v>17394</v>
      </c>
      <c r="F25" s="66" t="n">
        <v>17882</v>
      </c>
      <c r="G25" s="44" t="n">
        <v>0</v>
      </c>
      <c r="H25" s="70" t="n">
        <v>4936</v>
      </c>
      <c r="I25" s="66" t="n">
        <v>15054</v>
      </c>
      <c r="J25" s="15" t="s">
        <v>1757</v>
      </c>
      <c r="K25" s="41" t="s">
        <v>1758</v>
      </c>
      <c r="L25" s="6"/>
    </row>
    <row r="26" customFormat="false" ht="15" hidden="false" customHeight="false" outlineLevel="0" collapsed="false">
      <c r="A26" s="40" t="n">
        <v>23</v>
      </c>
      <c r="B26" s="40" t="s">
        <v>1781</v>
      </c>
      <c r="C26" s="174" t="n">
        <v>20080</v>
      </c>
      <c r="D26" s="174" t="n">
        <v>18984</v>
      </c>
      <c r="E26" s="174" t="n">
        <v>17504</v>
      </c>
      <c r="F26" s="174" t="n">
        <v>17989</v>
      </c>
      <c r="G26" s="44" t="n">
        <v>0</v>
      </c>
      <c r="H26" s="70" t="n">
        <v>4920</v>
      </c>
      <c r="I26" s="66" t="n">
        <v>15160</v>
      </c>
      <c r="J26" s="15" t="s">
        <v>1757</v>
      </c>
      <c r="K26" s="41" t="s">
        <v>1758</v>
      </c>
      <c r="L26" s="6"/>
    </row>
    <row r="27" customFormat="false" ht="15" hidden="false" customHeight="false" outlineLevel="0" collapsed="false">
      <c r="A27" s="40" t="n">
        <v>24</v>
      </c>
      <c r="B27" s="40" t="s">
        <v>1782</v>
      </c>
      <c r="C27" s="66" t="n">
        <v>20174</v>
      </c>
      <c r="D27" s="66" t="n">
        <v>19078</v>
      </c>
      <c r="E27" s="66" t="n">
        <v>17641</v>
      </c>
      <c r="F27" s="66" t="n">
        <v>18108</v>
      </c>
      <c r="G27" s="44" t="n">
        <v>0</v>
      </c>
      <c r="H27" s="70" t="n">
        <v>4902</v>
      </c>
      <c r="I27" s="66" t="n">
        <v>15272</v>
      </c>
      <c r="J27" s="15" t="s">
        <v>1757</v>
      </c>
      <c r="K27" s="41" t="s">
        <v>1758</v>
      </c>
      <c r="L27" s="6"/>
    </row>
    <row r="28" customFormat="false" ht="15" hidden="false" customHeight="false" outlineLevel="0" collapsed="false">
      <c r="A28" s="40" t="n">
        <v>25</v>
      </c>
      <c r="B28" s="40" t="s">
        <v>1783</v>
      </c>
      <c r="C28" s="174" t="n">
        <v>20275</v>
      </c>
      <c r="D28" s="174" t="n">
        <v>19175</v>
      </c>
      <c r="E28" s="174" t="n">
        <v>17818</v>
      </c>
      <c r="F28" s="174" t="n">
        <v>18243</v>
      </c>
      <c r="G28" s="44" t="n">
        <v>909</v>
      </c>
      <c r="H28" s="70" t="n">
        <v>4881</v>
      </c>
      <c r="I28" s="66" t="n">
        <v>14485</v>
      </c>
      <c r="J28" s="15" t="s">
        <v>1757</v>
      </c>
      <c r="K28" s="41" t="s">
        <v>1758</v>
      </c>
      <c r="L28" s="6"/>
    </row>
    <row r="29" customFormat="false" ht="15" hidden="false" customHeight="false" outlineLevel="0" collapsed="false">
      <c r="A29" s="40" t="n">
        <v>26</v>
      </c>
      <c r="B29" s="40" t="s">
        <v>1784</v>
      </c>
      <c r="C29" s="66" t="n">
        <v>20391</v>
      </c>
      <c r="D29" s="66" t="n">
        <v>19277</v>
      </c>
      <c r="E29" s="66" t="n">
        <v>18046</v>
      </c>
      <c r="F29" s="66" t="n">
        <v>18398</v>
      </c>
      <c r="G29" s="44" t="n">
        <v>1101</v>
      </c>
      <c r="H29" s="70" t="n">
        <v>4856</v>
      </c>
      <c r="I29" s="66" t="n">
        <v>14434</v>
      </c>
      <c r="J29" s="15" t="s">
        <v>1757</v>
      </c>
      <c r="K29" s="41" t="s">
        <v>1758</v>
      </c>
      <c r="L29" s="6"/>
    </row>
    <row r="30" customFormat="false" ht="15" hidden="false" customHeight="false" outlineLevel="0" collapsed="false">
      <c r="A30" s="40" t="n">
        <v>27</v>
      </c>
      <c r="B30" s="40" t="s">
        <v>1785</v>
      </c>
      <c r="C30" s="174" t="n">
        <v>20526</v>
      </c>
      <c r="D30" s="174" t="n">
        <v>19386</v>
      </c>
      <c r="E30" s="174" t="n">
        <v>18333</v>
      </c>
      <c r="F30" s="174" t="n">
        <v>18577</v>
      </c>
      <c r="G30" s="44" t="n">
        <v>1323</v>
      </c>
      <c r="H30" s="70" t="n">
        <v>4827</v>
      </c>
      <c r="I30" s="66" t="n">
        <v>14376</v>
      </c>
      <c r="J30" s="15" t="s">
        <v>1757</v>
      </c>
      <c r="K30" s="41" t="s">
        <v>1758</v>
      </c>
      <c r="L30" s="6"/>
    </row>
    <row r="31" customFormat="false" ht="15" hidden="false" customHeight="false" outlineLevel="0" collapsed="false">
      <c r="A31" s="40" t="n">
        <v>28</v>
      </c>
      <c r="B31" s="40" t="s">
        <v>1786</v>
      </c>
      <c r="C31" s="66" t="n">
        <v>20686</v>
      </c>
      <c r="D31" s="66" t="n">
        <v>19503</v>
      </c>
      <c r="E31" s="66" t="n">
        <v>18682</v>
      </c>
      <c r="F31" s="66" t="n">
        <v>18780</v>
      </c>
      <c r="G31" s="44" t="n">
        <v>1577</v>
      </c>
      <c r="H31" s="70" t="n">
        <v>4794</v>
      </c>
      <c r="I31" s="66" t="n">
        <v>14315</v>
      </c>
      <c r="J31" s="15" t="s">
        <v>1757</v>
      </c>
      <c r="K31" s="41" t="s">
        <v>1758</v>
      </c>
      <c r="L31" s="6"/>
    </row>
    <row r="32" customFormat="false" ht="15" hidden="false" customHeight="false" outlineLevel="0" collapsed="false">
      <c r="A32" s="40" t="n">
        <v>29</v>
      </c>
      <c r="B32" s="40" t="s">
        <v>1787</v>
      </c>
      <c r="C32" s="174" t="n">
        <v>20875</v>
      </c>
      <c r="D32" s="174" t="n">
        <v>19629</v>
      </c>
      <c r="E32" s="174" t="n">
        <v>19085</v>
      </c>
      <c r="F32" s="174" t="n">
        <v>19007</v>
      </c>
      <c r="G32" s="44" t="n">
        <v>1865</v>
      </c>
      <c r="H32" s="70" t="n">
        <v>4756</v>
      </c>
      <c r="I32" s="66" t="n">
        <v>14254</v>
      </c>
      <c r="J32" s="15" t="s">
        <v>1757</v>
      </c>
      <c r="K32" s="41" t="s">
        <v>1758</v>
      </c>
      <c r="L32" s="6"/>
    </row>
    <row r="33" customFormat="false" ht="15" hidden="false" customHeight="false" outlineLevel="0" collapsed="false">
      <c r="A33" s="40" t="n">
        <v>30</v>
      </c>
      <c r="B33" s="40" t="s">
        <v>1788</v>
      </c>
      <c r="C33" s="66" t="n">
        <v>21094</v>
      </c>
      <c r="D33" s="66" t="n">
        <v>19764</v>
      </c>
      <c r="E33" s="66" t="n">
        <v>19523</v>
      </c>
      <c r="F33" s="66" t="n">
        <v>19253</v>
      </c>
      <c r="G33" s="44" t="n">
        <v>2188</v>
      </c>
      <c r="H33" s="70" t="n">
        <v>4713</v>
      </c>
      <c r="I33" s="66" t="n">
        <v>14193</v>
      </c>
      <c r="J33" s="15" t="s">
        <v>1757</v>
      </c>
      <c r="K33" s="41" t="s">
        <v>1758</v>
      </c>
      <c r="L33" s="6"/>
    </row>
    <row r="34" customFormat="false" ht="15" hidden="false" customHeight="false" outlineLevel="0" collapsed="false">
      <c r="A34" s="40" t="n">
        <v>31</v>
      </c>
      <c r="B34" s="40" t="s">
        <v>1789</v>
      </c>
      <c r="C34" s="174" t="n">
        <v>21342</v>
      </c>
      <c r="D34" s="174" t="n">
        <v>19907</v>
      </c>
      <c r="E34" s="174" t="n">
        <v>19966</v>
      </c>
      <c r="F34" s="174" t="n">
        <v>19508</v>
      </c>
      <c r="G34" s="44" t="n">
        <v>2546</v>
      </c>
      <c r="H34" s="70" t="n">
        <v>4664</v>
      </c>
      <c r="I34" s="66" t="n">
        <v>14132</v>
      </c>
      <c r="J34" s="15" t="s">
        <v>1757</v>
      </c>
      <c r="K34" s="41" t="s">
        <v>1758</v>
      </c>
      <c r="L34" s="6"/>
    </row>
    <row r="35" customFormat="false" ht="15" hidden="false" customHeight="false" outlineLevel="0" collapsed="false">
      <c r="A35" s="40" t="n">
        <v>32</v>
      </c>
      <c r="B35" s="40" t="s">
        <v>1790</v>
      </c>
      <c r="C35" s="66" t="n">
        <v>21612</v>
      </c>
      <c r="D35" s="66" t="n">
        <v>20057</v>
      </c>
      <c r="E35" s="66" t="n">
        <v>20375</v>
      </c>
      <c r="F35" s="66" t="n">
        <v>19761</v>
      </c>
      <c r="G35" s="44" t="n">
        <v>2939</v>
      </c>
      <c r="H35" s="70" t="n">
        <v>4610</v>
      </c>
      <c r="I35" s="66" t="n">
        <v>14063</v>
      </c>
      <c r="J35" s="15" t="s">
        <v>1757</v>
      </c>
      <c r="K35" s="41" t="s">
        <v>1758</v>
      </c>
      <c r="L35" s="6"/>
    </row>
    <row r="36" customFormat="false" ht="15" hidden="false" customHeight="false" outlineLevel="0" collapsed="false">
      <c r="A36" s="40" t="n">
        <v>33</v>
      </c>
      <c r="B36" s="40" t="s">
        <v>1791</v>
      </c>
      <c r="C36" s="174" t="n">
        <v>21895</v>
      </c>
      <c r="D36" s="174" t="n">
        <v>20210</v>
      </c>
      <c r="E36" s="174" t="n">
        <v>20706</v>
      </c>
      <c r="F36" s="174" t="n">
        <v>19999</v>
      </c>
      <c r="G36" s="44" t="n">
        <v>3367</v>
      </c>
      <c r="H36" s="70" t="n">
        <v>4551</v>
      </c>
      <c r="I36" s="66" t="n">
        <v>13977</v>
      </c>
      <c r="J36" s="15" t="s">
        <v>1757</v>
      </c>
      <c r="K36" s="41" t="s">
        <v>1758</v>
      </c>
      <c r="L36" s="6"/>
    </row>
    <row r="37" customFormat="false" ht="15" hidden="false" customHeight="false" outlineLevel="0" collapsed="false">
      <c r="A37" s="40" t="n">
        <v>34</v>
      </c>
      <c r="B37" s="40" t="s">
        <v>1792</v>
      </c>
      <c r="C37" s="66" t="n">
        <v>22176</v>
      </c>
      <c r="D37" s="66" t="n">
        <v>20362</v>
      </c>
      <c r="E37" s="66" t="n">
        <v>20923</v>
      </c>
      <c r="F37" s="66" t="n">
        <v>20204</v>
      </c>
      <c r="G37" s="44" t="n">
        <v>3825</v>
      </c>
      <c r="H37" s="70" t="n">
        <v>4486</v>
      </c>
      <c r="I37" s="66" t="n">
        <v>13865</v>
      </c>
      <c r="J37" s="15" t="s">
        <v>1757</v>
      </c>
      <c r="K37" s="41" t="s">
        <v>1758</v>
      </c>
      <c r="L37" s="6"/>
    </row>
    <row r="38" customFormat="false" ht="15" hidden="false" customHeight="false" outlineLevel="0" collapsed="false">
      <c r="A38" s="40" t="n">
        <v>35</v>
      </c>
      <c r="B38" s="40" t="s">
        <v>1793</v>
      </c>
      <c r="C38" s="174" t="n">
        <v>22440</v>
      </c>
      <c r="D38" s="174" t="n">
        <v>20508</v>
      </c>
      <c r="E38" s="174" t="n">
        <v>20999</v>
      </c>
      <c r="F38" s="174" t="n">
        <v>20364</v>
      </c>
      <c r="G38" s="44" t="n">
        <v>4312</v>
      </c>
      <c r="H38" s="70" t="n">
        <v>4415</v>
      </c>
      <c r="I38" s="66" t="n">
        <v>13713</v>
      </c>
      <c r="J38" s="15" t="s">
        <v>1757</v>
      </c>
      <c r="K38" s="41" t="s">
        <v>1758</v>
      </c>
      <c r="L38" s="6"/>
    </row>
    <row r="39" customFormat="false" ht="15" hidden="false" customHeight="false" outlineLevel="0" collapsed="false">
      <c r="A39" s="40" t="n">
        <v>36</v>
      </c>
      <c r="B39" s="40" t="s">
        <v>1794</v>
      </c>
      <c r="C39" s="66" t="n">
        <v>22669</v>
      </c>
      <c r="D39" s="66" t="n">
        <v>20644</v>
      </c>
      <c r="E39" s="66" t="n">
        <v>20924</v>
      </c>
      <c r="F39" s="66" t="n">
        <v>20465</v>
      </c>
      <c r="G39" s="44" t="n">
        <v>4822</v>
      </c>
      <c r="H39" s="70" t="n">
        <v>4340</v>
      </c>
      <c r="I39" s="66" t="n">
        <v>13507</v>
      </c>
      <c r="J39" s="15" t="s">
        <v>1757</v>
      </c>
      <c r="K39" s="41" t="s">
        <v>1758</v>
      </c>
      <c r="L39" s="6"/>
    </row>
    <row r="40" customFormat="false" ht="15" hidden="false" customHeight="false" outlineLevel="0" collapsed="false">
      <c r="A40" s="40" t="n">
        <v>37</v>
      </c>
      <c r="B40" s="40" t="s">
        <v>1795</v>
      </c>
      <c r="C40" s="174" t="n">
        <v>22845</v>
      </c>
      <c r="D40" s="174" t="n">
        <v>20764</v>
      </c>
      <c r="E40" s="174" t="n">
        <v>20708</v>
      </c>
      <c r="F40" s="174" t="n">
        <v>20499</v>
      </c>
      <c r="G40" s="44" t="n">
        <v>5349</v>
      </c>
      <c r="H40" s="70" t="n">
        <v>4259</v>
      </c>
      <c r="I40" s="66" t="n">
        <v>13237</v>
      </c>
      <c r="J40" s="15" t="s">
        <v>1757</v>
      </c>
      <c r="K40" s="41" t="s">
        <v>1758</v>
      </c>
      <c r="L40" s="6"/>
    </row>
    <row r="41" customFormat="false" ht="15" hidden="false" customHeight="false" outlineLevel="0" collapsed="false">
      <c r="A41" s="40" t="n">
        <v>38</v>
      </c>
      <c r="B41" s="40" t="s">
        <v>1796</v>
      </c>
      <c r="C41" s="66" t="n">
        <v>22955</v>
      </c>
      <c r="D41" s="66" t="n">
        <v>20864</v>
      </c>
      <c r="E41" s="66" t="n">
        <v>20378</v>
      </c>
      <c r="F41" s="66" t="n">
        <v>20465</v>
      </c>
      <c r="G41" s="44" t="n">
        <v>5887</v>
      </c>
      <c r="H41" s="70" t="n">
        <v>4175</v>
      </c>
      <c r="I41" s="66" t="n">
        <v>12893</v>
      </c>
      <c r="J41" s="15" t="s">
        <v>1757</v>
      </c>
      <c r="K41" s="41" t="s">
        <v>1758</v>
      </c>
      <c r="L41" s="6"/>
    </row>
    <row r="42" customFormat="false" ht="15" hidden="false" customHeight="false" outlineLevel="0" collapsed="false">
      <c r="A42" s="40" t="n">
        <v>39</v>
      </c>
      <c r="B42" s="40" t="s">
        <v>802</v>
      </c>
      <c r="C42" s="174" t="n">
        <v>22986</v>
      </c>
      <c r="D42" s="174" t="n">
        <v>20938</v>
      </c>
      <c r="E42" s="174" t="n">
        <v>19973</v>
      </c>
      <c r="F42" s="174" t="n">
        <v>20364</v>
      </c>
      <c r="G42" s="44" t="n">
        <v>6428</v>
      </c>
      <c r="H42" s="70" t="n">
        <v>4088</v>
      </c>
      <c r="I42" s="66" t="n">
        <v>12470</v>
      </c>
      <c r="J42" s="15" t="s">
        <v>1757</v>
      </c>
      <c r="K42" s="41" t="s">
        <v>1758</v>
      </c>
      <c r="L42" s="6"/>
    </row>
    <row r="43" customFormat="false" ht="15" hidden="false" customHeight="false" outlineLevel="0" collapsed="false">
      <c r="A43" s="40" t="n">
        <v>40</v>
      </c>
      <c r="B43" s="40" t="s">
        <v>1797</v>
      </c>
      <c r="C43" s="66" t="n">
        <v>22933</v>
      </c>
      <c r="D43" s="66" t="n">
        <v>20984</v>
      </c>
      <c r="E43" s="66" t="n">
        <v>19534</v>
      </c>
      <c r="F43" s="66" t="n">
        <v>20206</v>
      </c>
      <c r="G43" s="44" t="n">
        <v>6963</v>
      </c>
      <c r="H43" s="70" t="n">
        <v>3999</v>
      </c>
      <c r="I43" s="66" t="n">
        <v>11971</v>
      </c>
      <c r="J43" s="15" t="s">
        <v>1757</v>
      </c>
      <c r="K43" s="41" t="s">
        <v>1758</v>
      </c>
      <c r="L43" s="6"/>
    </row>
    <row r="44" customFormat="false" ht="15" hidden="false" customHeight="false" outlineLevel="0" collapsed="false">
      <c r="A44" s="40" t="n">
        <v>41</v>
      </c>
      <c r="B44" s="40" t="s">
        <v>1798</v>
      </c>
      <c r="C44" s="174" t="n">
        <v>22795</v>
      </c>
      <c r="D44" s="174" t="n">
        <v>20999</v>
      </c>
      <c r="E44" s="174" t="n">
        <v>19102</v>
      </c>
      <c r="F44" s="174" t="n">
        <v>20001</v>
      </c>
      <c r="G44" s="44" t="n">
        <v>7482</v>
      </c>
      <c r="H44" s="70" t="n">
        <v>3908</v>
      </c>
      <c r="I44" s="66" t="n">
        <v>11405</v>
      </c>
      <c r="J44" s="15" t="s">
        <v>1757</v>
      </c>
      <c r="K44" s="41" t="s">
        <v>1758</v>
      </c>
      <c r="L44" s="6"/>
    </row>
    <row r="45" customFormat="false" ht="15" hidden="false" customHeight="false" outlineLevel="0" collapsed="false">
      <c r="A45" s="40" t="n">
        <v>42</v>
      </c>
      <c r="B45" s="40" t="s">
        <v>1799</v>
      </c>
      <c r="C45" s="66" t="n">
        <v>22575</v>
      </c>
      <c r="D45" s="66" t="n">
        <v>20984</v>
      </c>
      <c r="E45" s="66" t="n">
        <v>18708</v>
      </c>
      <c r="F45" s="66" t="n">
        <v>19766</v>
      </c>
      <c r="G45" s="44" t="n">
        <v>7976</v>
      </c>
      <c r="H45" s="70" t="n">
        <v>3817</v>
      </c>
      <c r="I45" s="66" t="n">
        <v>10782</v>
      </c>
      <c r="J45" s="15" t="s">
        <v>1757</v>
      </c>
      <c r="K45" s="41" t="s">
        <v>1758</v>
      </c>
      <c r="L45" s="6"/>
    </row>
    <row r="46" customFormat="false" ht="15" hidden="false" customHeight="false" outlineLevel="0" collapsed="false">
      <c r="A46" s="40" t="n">
        <v>43</v>
      </c>
      <c r="B46" s="40" t="s">
        <v>1800</v>
      </c>
      <c r="C46" s="174" t="n">
        <v>22279</v>
      </c>
      <c r="D46" s="174" t="n">
        <v>20938</v>
      </c>
      <c r="E46" s="174" t="n">
        <v>18372</v>
      </c>
      <c r="F46" s="174" t="n">
        <v>19516</v>
      </c>
      <c r="G46" s="44" t="n">
        <v>8435</v>
      </c>
      <c r="H46" s="70" t="n">
        <v>3728</v>
      </c>
      <c r="I46" s="66" t="n">
        <v>10116</v>
      </c>
      <c r="J46" s="15" t="s">
        <v>1757</v>
      </c>
      <c r="K46" s="41" t="s">
        <v>1758</v>
      </c>
      <c r="L46" s="6"/>
    </row>
    <row r="47" customFormat="false" ht="15" hidden="false" customHeight="false" outlineLevel="0" collapsed="false">
      <c r="A47" s="40" t="n">
        <v>44</v>
      </c>
      <c r="B47" s="40" t="s">
        <v>1801</v>
      </c>
      <c r="C47" s="66" t="n">
        <v>21919</v>
      </c>
      <c r="D47" s="66" t="n">
        <v>20864</v>
      </c>
      <c r="E47" s="66" t="n">
        <v>18103</v>
      </c>
      <c r="F47" s="66" t="n">
        <v>19265</v>
      </c>
      <c r="G47" s="44" t="n">
        <v>8850</v>
      </c>
      <c r="H47" s="70" t="n">
        <v>3641</v>
      </c>
      <c r="I47" s="66" t="n">
        <v>9428</v>
      </c>
      <c r="J47" s="15" t="s">
        <v>1757</v>
      </c>
      <c r="K47" s="41" t="s">
        <v>1758</v>
      </c>
      <c r="L47" s="6"/>
    </row>
    <row r="48" customFormat="false" ht="15" hidden="false" customHeight="false" outlineLevel="0" collapsed="false">
      <c r="A48" s="40" t="n">
        <v>45</v>
      </c>
      <c r="B48" s="40" t="s">
        <v>1802</v>
      </c>
      <c r="C48" s="174" t="n">
        <v>21508</v>
      </c>
      <c r="D48" s="174" t="n">
        <v>20764</v>
      </c>
      <c r="E48" s="174" t="n">
        <v>17899</v>
      </c>
      <c r="F48" s="174" t="n">
        <v>19027</v>
      </c>
      <c r="G48" s="44" t="n">
        <v>9211</v>
      </c>
      <c r="H48" s="70" t="n">
        <v>3558</v>
      </c>
      <c r="I48" s="66" t="n">
        <v>8739</v>
      </c>
      <c r="J48" s="15" t="s">
        <v>1757</v>
      </c>
      <c r="K48" s="41" t="s">
        <v>1758</v>
      </c>
      <c r="L48" s="6"/>
    </row>
    <row r="49" customFormat="false" ht="15" hidden="false" customHeight="false" outlineLevel="0" collapsed="false">
      <c r="A49" s="40" t="n">
        <v>46</v>
      </c>
      <c r="B49" s="40" t="s">
        <v>1803</v>
      </c>
      <c r="C49" s="66" t="n">
        <v>21068</v>
      </c>
      <c r="D49" s="66" t="n">
        <v>20645</v>
      </c>
      <c r="E49" s="66" t="n">
        <v>17753</v>
      </c>
      <c r="F49" s="66" t="n">
        <v>18811</v>
      </c>
      <c r="G49" s="44" t="n">
        <v>9511</v>
      </c>
      <c r="H49" s="70" t="n">
        <v>3481</v>
      </c>
      <c r="I49" s="66" t="n">
        <v>8076</v>
      </c>
      <c r="J49" s="15" t="s">
        <v>1757</v>
      </c>
      <c r="K49" s="41" t="s">
        <v>1758</v>
      </c>
      <c r="L49" s="6"/>
    </row>
    <row r="50" customFormat="false" ht="15" hidden="false" customHeight="false" outlineLevel="0" collapsed="false">
      <c r="A50" s="40" t="n">
        <v>47</v>
      </c>
      <c r="B50" s="40" t="s">
        <v>1804</v>
      </c>
      <c r="C50" s="174" t="n">
        <v>20623</v>
      </c>
      <c r="D50" s="174" t="n">
        <v>20509</v>
      </c>
      <c r="E50" s="174" t="n">
        <v>17653</v>
      </c>
      <c r="F50" s="174" t="n">
        <v>18623</v>
      </c>
      <c r="G50" s="44" t="n">
        <v>9743</v>
      </c>
      <c r="H50" s="70" t="n">
        <v>3411</v>
      </c>
      <c r="I50" s="66" t="n">
        <v>7469</v>
      </c>
      <c r="J50" s="15" t="s">
        <v>1757</v>
      </c>
      <c r="K50" s="41" t="s">
        <v>1758</v>
      </c>
      <c r="L50" s="6"/>
    </row>
    <row r="51" customFormat="false" ht="15" hidden="false" customHeight="false" outlineLevel="0" collapsed="false">
      <c r="A51" s="40" t="n">
        <v>48</v>
      </c>
      <c r="B51" s="40" t="s">
        <v>1805</v>
      </c>
      <c r="C51" s="66" t="n">
        <v>20203</v>
      </c>
      <c r="D51" s="66" t="n">
        <v>20363</v>
      </c>
      <c r="E51" s="66" t="n">
        <v>17589</v>
      </c>
      <c r="F51" s="66" t="n">
        <v>18465</v>
      </c>
      <c r="G51" s="44" t="n">
        <v>9901</v>
      </c>
      <c r="H51" s="70" t="n">
        <v>3349</v>
      </c>
      <c r="I51" s="66" t="n">
        <v>6953</v>
      </c>
      <c r="J51" s="15" t="s">
        <v>1757</v>
      </c>
      <c r="K51" s="41" t="s">
        <v>1758</v>
      </c>
      <c r="L51" s="6"/>
    </row>
    <row r="52" customFormat="false" ht="15" hidden="false" customHeight="false" outlineLevel="0" collapsed="false">
      <c r="A52" s="40" t="n">
        <v>49</v>
      </c>
      <c r="B52" s="40" t="s">
        <v>1806</v>
      </c>
      <c r="C52" s="174" t="n">
        <v>19839</v>
      </c>
      <c r="D52" s="174" t="n">
        <v>20213</v>
      </c>
      <c r="E52" s="174" t="n">
        <v>17549</v>
      </c>
      <c r="F52" s="174" t="n">
        <v>18338</v>
      </c>
      <c r="G52" s="44" t="n">
        <v>9982</v>
      </c>
      <c r="H52" s="70" t="n">
        <v>3297</v>
      </c>
      <c r="I52" s="66" t="n">
        <v>6560</v>
      </c>
      <c r="J52" s="15" t="s">
        <v>1757</v>
      </c>
      <c r="K52" s="41" t="s">
        <v>1758</v>
      </c>
      <c r="L52" s="6"/>
    </row>
    <row r="53" customFormat="false" ht="15" hidden="false" customHeight="false" outlineLevel="0" collapsed="false">
      <c r="A53" s="40" t="n">
        <v>50</v>
      </c>
      <c r="B53" s="40" t="s">
        <v>1807</v>
      </c>
      <c r="C53" s="66" t="n">
        <v>19558</v>
      </c>
      <c r="D53" s="66" t="n">
        <v>20062</v>
      </c>
      <c r="E53" s="66" t="n">
        <v>17526</v>
      </c>
      <c r="F53" s="66" t="n">
        <v>18239</v>
      </c>
      <c r="G53" s="44" t="n">
        <v>9983</v>
      </c>
      <c r="H53" s="70" t="n">
        <v>3255</v>
      </c>
      <c r="I53" s="66" t="n">
        <v>6320</v>
      </c>
      <c r="J53" s="15" t="s">
        <v>1757</v>
      </c>
      <c r="K53" s="41" t="s">
        <v>1758</v>
      </c>
      <c r="L53" s="6"/>
    </row>
    <row r="54" customFormat="false" ht="15" hidden="false" customHeight="false" outlineLevel="0" collapsed="false">
      <c r="A54" s="40" t="n">
        <v>51</v>
      </c>
      <c r="B54" s="40" t="s">
        <v>1808</v>
      </c>
      <c r="C54" s="174" t="n">
        <v>19378</v>
      </c>
      <c r="D54" s="174" t="n">
        <v>19915</v>
      </c>
      <c r="E54" s="174" t="n">
        <v>17513</v>
      </c>
      <c r="F54" s="174" t="n">
        <v>18164</v>
      </c>
      <c r="G54" s="44" t="n">
        <v>9906</v>
      </c>
      <c r="H54" s="70" t="n">
        <v>3225</v>
      </c>
      <c r="I54" s="66" t="n">
        <v>6247</v>
      </c>
      <c r="J54" s="15" t="s">
        <v>1757</v>
      </c>
      <c r="K54" s="41" t="s">
        <v>1758</v>
      </c>
      <c r="L54" s="6"/>
    </row>
    <row r="55" customFormat="false" ht="15" hidden="false" customHeight="false" outlineLevel="0" collapsed="false">
      <c r="A55" s="40" t="n">
        <v>52</v>
      </c>
      <c r="B55" s="40" t="s">
        <v>1809</v>
      </c>
      <c r="C55" s="66" t="n">
        <v>19304</v>
      </c>
      <c r="D55" s="66" t="n">
        <v>19777</v>
      </c>
      <c r="E55" s="66" t="n">
        <v>17506</v>
      </c>
      <c r="F55" s="66" t="n">
        <v>18109</v>
      </c>
      <c r="G55" s="44" t="n">
        <v>9750</v>
      </c>
      <c r="H55" s="70" t="n">
        <v>3206</v>
      </c>
      <c r="I55" s="66" t="n">
        <v>6348</v>
      </c>
      <c r="J55" s="15" t="s">
        <v>1757</v>
      </c>
      <c r="K55" s="41" t="s">
        <v>1758</v>
      </c>
      <c r="L55" s="6"/>
    </row>
    <row r="56" customFormat="false" ht="15" hidden="false" customHeight="false" outlineLevel="0" collapsed="false">
      <c r="A56" s="40" t="n">
        <v>53</v>
      </c>
      <c r="B56" s="40" t="s">
        <v>1810</v>
      </c>
      <c r="C56" s="174" t="n">
        <v>19325</v>
      </c>
      <c r="D56" s="174" t="n">
        <v>19649</v>
      </c>
      <c r="E56" s="174" t="n">
        <v>17503</v>
      </c>
      <c r="F56" s="174" t="n">
        <v>18071</v>
      </c>
      <c r="G56" s="44" t="n">
        <v>9522</v>
      </c>
      <c r="H56" s="70" t="n">
        <v>3201</v>
      </c>
      <c r="I56" s="66" t="n">
        <v>6602</v>
      </c>
      <c r="J56" s="15" t="s">
        <v>1757</v>
      </c>
      <c r="K56" s="41" t="s">
        <v>1758</v>
      </c>
      <c r="L56" s="6"/>
    </row>
    <row r="57" customFormat="false" ht="15" hidden="false" customHeight="false" outlineLevel="0" collapsed="false">
      <c r="A57" s="40" t="n">
        <v>54</v>
      </c>
      <c r="B57" s="40" t="s">
        <v>1811</v>
      </c>
      <c r="C57" s="66" t="n">
        <v>19417</v>
      </c>
      <c r="D57" s="66" t="n">
        <v>19534</v>
      </c>
      <c r="E57" s="66" t="n">
        <v>17501</v>
      </c>
      <c r="F57" s="66" t="n">
        <v>18045</v>
      </c>
      <c r="G57" s="44" t="n">
        <v>9224</v>
      </c>
      <c r="H57" s="70" t="n">
        <v>3207</v>
      </c>
      <c r="I57" s="66" t="n">
        <v>6986</v>
      </c>
      <c r="J57" s="15" t="s">
        <v>1757</v>
      </c>
      <c r="K57" s="41" t="s">
        <v>1758</v>
      </c>
      <c r="L57" s="6"/>
    </row>
    <row r="58" customFormat="false" ht="15" hidden="false" customHeight="false" outlineLevel="0" collapsed="false">
      <c r="A58" s="40" t="n">
        <v>55</v>
      </c>
      <c r="B58" s="40" t="s">
        <v>1812</v>
      </c>
      <c r="C58" s="174" t="n">
        <v>19552</v>
      </c>
      <c r="D58" s="174" t="n">
        <v>19432</v>
      </c>
      <c r="E58" s="174" t="n">
        <v>17500</v>
      </c>
      <c r="F58" s="174" t="n">
        <v>18027</v>
      </c>
      <c r="G58" s="44" t="n">
        <v>8865</v>
      </c>
      <c r="H58" s="70" t="n">
        <v>3227</v>
      </c>
      <c r="I58" s="66" t="n">
        <v>7460</v>
      </c>
      <c r="J58" s="15" t="s">
        <v>1757</v>
      </c>
      <c r="K58" s="41" t="s">
        <v>1758</v>
      </c>
      <c r="L58" s="6"/>
    </row>
    <row r="59" customFormat="false" ht="15" hidden="false" customHeight="false" outlineLevel="0" collapsed="false">
      <c r="A59" s="40" t="n">
        <v>56</v>
      </c>
      <c r="B59" s="40" t="s">
        <v>1813</v>
      </c>
      <c r="C59" s="66" t="n">
        <v>19701</v>
      </c>
      <c r="D59" s="66" t="n">
        <v>19345</v>
      </c>
      <c r="E59" s="66" t="n">
        <v>17500</v>
      </c>
      <c r="F59" s="66" t="n">
        <v>18016</v>
      </c>
      <c r="G59" s="44" t="n">
        <v>8452</v>
      </c>
      <c r="H59" s="70" t="n">
        <v>3259</v>
      </c>
      <c r="I59" s="66" t="n">
        <v>7990</v>
      </c>
      <c r="J59" s="15" t="s">
        <v>1757</v>
      </c>
      <c r="K59" s="41" t="s">
        <v>1758</v>
      </c>
      <c r="L59" s="6"/>
    </row>
    <row r="60" customFormat="false" ht="15" hidden="false" customHeight="false" outlineLevel="0" collapsed="false">
      <c r="A60" s="40" t="n">
        <v>57</v>
      </c>
      <c r="B60" s="40" t="s">
        <v>1814</v>
      </c>
      <c r="C60" s="174" t="n">
        <v>19841</v>
      </c>
      <c r="D60" s="174" t="n">
        <v>19271</v>
      </c>
      <c r="E60" s="174" t="n">
        <v>17500</v>
      </c>
      <c r="F60" s="174" t="n">
        <v>18009</v>
      </c>
      <c r="G60" s="44" t="n">
        <v>7995</v>
      </c>
      <c r="H60" s="70" t="n">
        <v>3303</v>
      </c>
      <c r="I60" s="66" t="n">
        <v>8543</v>
      </c>
      <c r="J60" s="15" t="s">
        <v>1757</v>
      </c>
      <c r="K60" s="41" t="s">
        <v>1758</v>
      </c>
      <c r="L60" s="6"/>
    </row>
    <row r="61" customFormat="false" ht="15" hidden="false" customHeight="false" outlineLevel="0" collapsed="false">
      <c r="A61" s="40" t="n">
        <v>58</v>
      </c>
      <c r="B61" s="40" t="s">
        <v>1815</v>
      </c>
      <c r="C61" s="66" t="n">
        <v>19959</v>
      </c>
      <c r="D61" s="66" t="n">
        <v>19211</v>
      </c>
      <c r="E61" s="66" t="n">
        <v>17500</v>
      </c>
      <c r="F61" s="66" t="n">
        <v>18005</v>
      </c>
      <c r="G61" s="44" t="n">
        <v>7502</v>
      </c>
      <c r="H61" s="70" t="n">
        <v>3358</v>
      </c>
      <c r="I61" s="66" t="n">
        <v>9099</v>
      </c>
      <c r="J61" s="15" t="s">
        <v>1757</v>
      </c>
      <c r="K61" s="41" t="s">
        <v>1758</v>
      </c>
      <c r="L61" s="6"/>
    </row>
    <row r="62" customFormat="false" ht="15" hidden="false" customHeight="false" outlineLevel="0" collapsed="false">
      <c r="A62" s="40" t="n">
        <v>59</v>
      </c>
      <c r="B62" s="40" t="s">
        <v>1816</v>
      </c>
      <c r="C62" s="174" t="n">
        <v>20048</v>
      </c>
      <c r="D62" s="174" t="n">
        <v>19163</v>
      </c>
      <c r="E62" s="174" t="n">
        <v>17500</v>
      </c>
      <c r="F62" s="174" t="n">
        <v>18003</v>
      </c>
      <c r="G62" s="44" t="n">
        <v>6984</v>
      </c>
      <c r="H62" s="70" t="n">
        <v>3424</v>
      </c>
      <c r="I62" s="66" t="n">
        <v>9640</v>
      </c>
      <c r="J62" s="15" t="s">
        <v>1757</v>
      </c>
      <c r="K62" s="41" t="s">
        <v>1758</v>
      </c>
      <c r="L62" s="6"/>
    </row>
    <row r="63" customFormat="false" ht="15" hidden="false" customHeight="false" outlineLevel="0" collapsed="false">
      <c r="A63" s="40" t="n">
        <v>60</v>
      </c>
      <c r="B63" s="40" t="s">
        <v>1817</v>
      </c>
      <c r="C63" s="66" t="n">
        <v>20110</v>
      </c>
      <c r="D63" s="66" t="n">
        <v>19126</v>
      </c>
      <c r="E63" s="66" t="n">
        <v>17500</v>
      </c>
      <c r="F63" s="66" t="n">
        <v>18001</v>
      </c>
      <c r="G63" s="44" t="n">
        <v>6450</v>
      </c>
      <c r="H63" s="70" t="n">
        <v>3500</v>
      </c>
      <c r="I63" s="66" t="n">
        <v>10160</v>
      </c>
      <c r="J63" s="15" t="s">
        <v>1757</v>
      </c>
      <c r="K63" s="41" t="s">
        <v>1758</v>
      </c>
      <c r="L63" s="6"/>
    </row>
    <row r="64" customFormat="false" ht="15" hidden="false" customHeight="false" outlineLevel="0" collapsed="false">
      <c r="A64" s="40" t="n">
        <v>61</v>
      </c>
      <c r="B64" s="40" t="s">
        <v>1818</v>
      </c>
      <c r="C64" s="44" t="n">
        <v>20151</v>
      </c>
      <c r="D64" s="44" t="n">
        <v>19101</v>
      </c>
      <c r="E64" s="44" t="n">
        <v>17500</v>
      </c>
      <c r="F64" s="44" t="n">
        <v>18001</v>
      </c>
      <c r="G64" s="44" t="n">
        <v>5909</v>
      </c>
      <c r="H64" s="70" t="n">
        <v>3586</v>
      </c>
      <c r="I64" s="66" t="n">
        <v>10656</v>
      </c>
      <c r="J64" s="46" t="s">
        <v>1771</v>
      </c>
      <c r="K64" s="41" t="s">
        <v>108</v>
      </c>
      <c r="L64" s="6"/>
    </row>
    <row r="65" customFormat="false" ht="15" hidden="false" customHeight="false" outlineLevel="0" collapsed="false">
      <c r="A65" s="40" t="n">
        <v>62</v>
      </c>
      <c r="B65" s="40" t="s">
        <v>1819</v>
      </c>
      <c r="C65" s="44" t="n">
        <v>20176</v>
      </c>
      <c r="D65" s="44" t="n">
        <v>19087</v>
      </c>
      <c r="E65" s="44" t="n">
        <v>17500</v>
      </c>
      <c r="F65" s="44" t="n">
        <v>18001</v>
      </c>
      <c r="G65" s="44" t="n">
        <v>5371</v>
      </c>
      <c r="H65" s="70" t="n">
        <v>3679</v>
      </c>
      <c r="I65" s="66" t="n">
        <v>11126</v>
      </c>
      <c r="J65" s="46" t="s">
        <v>1771</v>
      </c>
      <c r="K65" s="41" t="s">
        <v>108</v>
      </c>
      <c r="L65" s="6"/>
    </row>
    <row r="66" customFormat="false" ht="15" hidden="false" customHeight="false" outlineLevel="0" collapsed="false">
      <c r="A66" s="40" t="n">
        <v>63</v>
      </c>
      <c r="B66" s="40" t="s">
        <v>866</v>
      </c>
      <c r="C66" s="174" t="n">
        <v>20191</v>
      </c>
      <c r="D66" s="174" t="n">
        <v>19084</v>
      </c>
      <c r="E66" s="174" t="n">
        <v>17501</v>
      </c>
      <c r="F66" s="174" t="n">
        <v>18003</v>
      </c>
      <c r="G66" s="44" t="n">
        <v>4843</v>
      </c>
      <c r="H66" s="70" t="n">
        <v>3780</v>
      </c>
      <c r="I66" s="66" t="n">
        <v>11568</v>
      </c>
      <c r="J66" s="15" t="s">
        <v>1757</v>
      </c>
      <c r="K66" s="41" t="s">
        <v>1758</v>
      </c>
      <c r="L66" s="6"/>
    </row>
    <row r="67" customFormat="false" ht="15" hidden="false" customHeight="false" outlineLevel="0" collapsed="false">
      <c r="A67" s="40" t="n">
        <v>64</v>
      </c>
      <c r="B67" s="40" t="s">
        <v>1820</v>
      </c>
      <c r="C67" s="66" t="n">
        <v>20202</v>
      </c>
      <c r="D67" s="66" t="n">
        <v>19095</v>
      </c>
      <c r="E67" s="66" t="n">
        <v>17503</v>
      </c>
      <c r="F67" s="66" t="n">
        <v>18007</v>
      </c>
      <c r="G67" s="44" t="n">
        <v>4332</v>
      </c>
      <c r="H67" s="70" t="n">
        <v>3888</v>
      </c>
      <c r="I67" s="66" t="n">
        <v>11982</v>
      </c>
      <c r="J67" s="15" t="s">
        <v>1757</v>
      </c>
      <c r="K67" s="41" t="s">
        <v>1758</v>
      </c>
      <c r="L67" s="6"/>
    </row>
    <row r="68" customFormat="false" ht="15" hidden="false" customHeight="false" outlineLevel="0" collapsed="false">
      <c r="A68" s="40" t="n">
        <v>65</v>
      </c>
      <c r="B68" s="40" t="s">
        <v>1821</v>
      </c>
      <c r="C68" s="174" t="n">
        <v>20213</v>
      </c>
      <c r="D68" s="174" t="n">
        <v>19122</v>
      </c>
      <c r="E68" s="174" t="n">
        <v>17509</v>
      </c>
      <c r="F68" s="174" t="n">
        <v>18014</v>
      </c>
      <c r="G68" s="44" t="n">
        <v>3844</v>
      </c>
      <c r="H68" s="70" t="n">
        <v>4003</v>
      </c>
      <c r="I68" s="66" t="n">
        <v>12366</v>
      </c>
      <c r="J68" s="15" t="s">
        <v>1757</v>
      </c>
      <c r="K68" s="41" t="s">
        <v>1758</v>
      </c>
      <c r="L68" s="6"/>
    </row>
    <row r="69" customFormat="false" ht="15" hidden="false" customHeight="false" outlineLevel="0" collapsed="false">
      <c r="A69" s="40" t="n">
        <v>66</v>
      </c>
      <c r="B69" s="40" t="s">
        <v>1822</v>
      </c>
      <c r="C69" s="66" t="n">
        <v>20230</v>
      </c>
      <c r="D69" s="66" t="n">
        <v>19168</v>
      </c>
      <c r="E69" s="66" t="n">
        <v>17522</v>
      </c>
      <c r="F69" s="66" t="n">
        <v>18028</v>
      </c>
      <c r="G69" s="44" t="n">
        <v>3384</v>
      </c>
      <c r="H69" s="70" t="n">
        <v>4124</v>
      </c>
      <c r="I69" s="66" t="n">
        <v>12722</v>
      </c>
      <c r="J69" s="15" t="s">
        <v>1757</v>
      </c>
      <c r="K69" s="41" t="s">
        <v>1758</v>
      </c>
      <c r="L69" s="6"/>
    </row>
    <row r="70" customFormat="false" ht="15" hidden="false" customHeight="false" outlineLevel="0" collapsed="false">
      <c r="A70" s="40" t="n">
        <v>67</v>
      </c>
      <c r="B70" s="40" t="s">
        <v>1823</v>
      </c>
      <c r="C70" s="174" t="n">
        <v>20259</v>
      </c>
      <c r="D70" s="174" t="n">
        <v>19240</v>
      </c>
      <c r="E70" s="174" t="n">
        <v>17549</v>
      </c>
      <c r="F70" s="174" t="n">
        <v>18054</v>
      </c>
      <c r="G70" s="44" t="n">
        <v>2956</v>
      </c>
      <c r="H70" s="70" t="n">
        <v>4250</v>
      </c>
      <c r="I70" s="66" t="n">
        <v>13053</v>
      </c>
      <c r="J70" s="15" t="s">
        <v>1757</v>
      </c>
      <c r="K70" s="41" t="s">
        <v>1758</v>
      </c>
      <c r="L70" s="6"/>
    </row>
    <row r="71" customFormat="false" ht="15" hidden="false" customHeight="false" outlineLevel="0" collapsed="false">
      <c r="A71" s="40" t="n">
        <v>68</v>
      </c>
      <c r="B71" s="40" t="s">
        <v>1824</v>
      </c>
      <c r="C71" s="66" t="n">
        <v>20307</v>
      </c>
      <c r="D71" s="66" t="n">
        <v>19341</v>
      </c>
      <c r="E71" s="66" t="n">
        <v>17602</v>
      </c>
      <c r="F71" s="66" t="n">
        <v>18097</v>
      </c>
      <c r="G71" s="44" t="n">
        <v>2561</v>
      </c>
      <c r="H71" s="70" t="n">
        <v>4382</v>
      </c>
      <c r="I71" s="66" t="n">
        <v>13364</v>
      </c>
      <c r="J71" s="15" t="s">
        <v>1757</v>
      </c>
      <c r="K71" s="41" t="s">
        <v>1758</v>
      </c>
      <c r="L71" s="6"/>
    </row>
    <row r="72" customFormat="false" ht="15" hidden="false" customHeight="false" outlineLevel="0" collapsed="false">
      <c r="A72" s="40" t="n">
        <v>69</v>
      </c>
      <c r="B72" s="40" t="s">
        <v>1825</v>
      </c>
      <c r="C72" s="174" t="n">
        <v>20384</v>
      </c>
      <c r="D72" s="174" t="n">
        <v>19478</v>
      </c>
      <c r="E72" s="174" t="n">
        <v>17697</v>
      </c>
      <c r="F72" s="174" t="n">
        <v>18166</v>
      </c>
      <c r="G72" s="44" t="n">
        <v>2201</v>
      </c>
      <c r="H72" s="70" t="n">
        <v>4519</v>
      </c>
      <c r="I72" s="66" t="n">
        <v>13664</v>
      </c>
      <c r="J72" s="15" t="s">
        <v>1757</v>
      </c>
      <c r="K72" s="41" t="s">
        <v>1758</v>
      </c>
      <c r="L72" s="6"/>
    </row>
    <row r="73" customFormat="false" ht="15" hidden="false" customHeight="false" outlineLevel="0" collapsed="false">
      <c r="A73" s="40" t="n">
        <v>70</v>
      </c>
      <c r="B73" s="40" t="s">
        <v>1826</v>
      </c>
      <c r="C73" s="66" t="n">
        <v>20503</v>
      </c>
      <c r="D73" s="66" t="n">
        <v>19654</v>
      </c>
      <c r="E73" s="66" t="n">
        <v>17858</v>
      </c>
      <c r="F73" s="66" t="n">
        <v>18275</v>
      </c>
      <c r="G73" s="44" t="n">
        <v>1877</v>
      </c>
      <c r="H73" s="70" t="n">
        <v>4660</v>
      </c>
      <c r="I73" s="66" t="n">
        <v>13966</v>
      </c>
      <c r="J73" s="15" t="s">
        <v>1757</v>
      </c>
      <c r="K73" s="41" t="s">
        <v>1758</v>
      </c>
      <c r="L73" s="6"/>
    </row>
    <row r="74" customFormat="false" ht="15" hidden="false" customHeight="false" outlineLevel="0" collapsed="false">
      <c r="A74" s="40" t="n">
        <v>71</v>
      </c>
      <c r="B74" s="40" t="s">
        <v>1827</v>
      </c>
      <c r="C74" s="174" t="n">
        <v>20679</v>
      </c>
      <c r="D74" s="174" t="n">
        <v>19874</v>
      </c>
      <c r="E74" s="174" t="n">
        <v>18109</v>
      </c>
      <c r="F74" s="174" t="n">
        <v>18433</v>
      </c>
      <c r="G74" s="44" t="n">
        <v>1588</v>
      </c>
      <c r="H74" s="70" t="n">
        <v>4805</v>
      </c>
      <c r="I74" s="66" t="n">
        <v>14286</v>
      </c>
      <c r="J74" s="15" t="s">
        <v>1757</v>
      </c>
      <c r="K74" s="41" t="s">
        <v>1758</v>
      </c>
      <c r="L74" s="6"/>
    </row>
    <row r="75" customFormat="false" ht="15" hidden="false" customHeight="false" outlineLevel="0" collapsed="false">
      <c r="A75" s="40" t="n">
        <v>72</v>
      </c>
      <c r="B75" s="40" t="s">
        <v>1828</v>
      </c>
      <c r="C75" s="66" t="n">
        <v>20924</v>
      </c>
      <c r="D75" s="66" t="n">
        <v>20137</v>
      </c>
      <c r="E75" s="66" t="n">
        <v>18473</v>
      </c>
      <c r="F75" s="66" t="n">
        <v>18655</v>
      </c>
      <c r="G75" s="44" t="n">
        <v>1333</v>
      </c>
      <c r="H75" s="70" t="n">
        <v>4952</v>
      </c>
      <c r="I75" s="66" t="n">
        <v>14639</v>
      </c>
      <c r="J75" s="15" t="s">
        <v>1757</v>
      </c>
      <c r="K75" s="41" t="s">
        <v>1758</v>
      </c>
      <c r="L75" s="6"/>
    </row>
    <row r="76" customFormat="false" ht="15" hidden="false" customHeight="false" outlineLevel="0" collapsed="false">
      <c r="A76" s="40" t="n">
        <v>73</v>
      </c>
      <c r="B76" s="40" t="s">
        <v>1829</v>
      </c>
      <c r="C76" s="174" t="n">
        <v>21247</v>
      </c>
      <c r="D76" s="174" t="n">
        <v>20439</v>
      </c>
      <c r="E76" s="174" t="n">
        <v>18960</v>
      </c>
      <c r="F76" s="174" t="n">
        <v>18947</v>
      </c>
      <c r="G76" s="44" t="n">
        <v>1110</v>
      </c>
      <c r="H76" s="70" t="n">
        <v>5100</v>
      </c>
      <c r="I76" s="66" t="n">
        <v>15037</v>
      </c>
      <c r="J76" s="15" t="s">
        <v>1757</v>
      </c>
      <c r="K76" s="41" t="s">
        <v>1758</v>
      </c>
      <c r="L76" s="6"/>
    </row>
    <row r="77" customFormat="false" ht="15" hidden="false" customHeight="false" outlineLevel="0" collapsed="false">
      <c r="A77" s="40" t="n">
        <v>74</v>
      </c>
      <c r="B77" s="40" t="s">
        <v>1830</v>
      </c>
      <c r="C77" s="66" t="n">
        <v>21650</v>
      </c>
      <c r="D77" s="66" t="n">
        <v>20772</v>
      </c>
      <c r="E77" s="66" t="n">
        <v>19560</v>
      </c>
      <c r="F77" s="66" t="n">
        <v>19312</v>
      </c>
      <c r="G77" s="44" t="n">
        <v>916</v>
      </c>
      <c r="H77" s="70" t="n">
        <v>5248</v>
      </c>
      <c r="I77" s="66" t="n">
        <v>15486</v>
      </c>
      <c r="J77" s="15" t="s">
        <v>1757</v>
      </c>
      <c r="K77" s="41" t="s">
        <v>1758</v>
      </c>
      <c r="L77" s="6"/>
    </row>
    <row r="78" customFormat="false" ht="15" hidden="false" customHeight="false" outlineLevel="0" collapsed="false">
      <c r="A78" s="40" t="n">
        <v>75</v>
      </c>
      <c r="B78" s="40" t="s">
        <v>1831</v>
      </c>
      <c r="C78" s="174" t="n">
        <v>22122</v>
      </c>
      <c r="D78" s="174" t="n">
        <v>21123</v>
      </c>
      <c r="E78" s="174" t="n">
        <v>20229</v>
      </c>
      <c r="F78" s="174" t="n">
        <v>19739</v>
      </c>
      <c r="G78" s="44" t="n">
        <v>751</v>
      </c>
      <c r="H78" s="70" t="n">
        <v>5392</v>
      </c>
      <c r="I78" s="66" t="n">
        <v>15979</v>
      </c>
      <c r="J78" s="15" t="s">
        <v>1757</v>
      </c>
      <c r="K78" s="41" t="s">
        <v>1758</v>
      </c>
      <c r="L78" s="6"/>
    </row>
    <row r="79" customFormat="false" ht="15" hidden="false" customHeight="false" outlineLevel="0" collapsed="false">
      <c r="A79" s="40" t="n">
        <v>76</v>
      </c>
      <c r="B79" s="40" t="s">
        <v>1832</v>
      </c>
      <c r="C79" s="66" t="n">
        <v>22641</v>
      </c>
      <c r="D79" s="66" t="n">
        <v>21473</v>
      </c>
      <c r="E79" s="66" t="n">
        <v>20896</v>
      </c>
      <c r="F79" s="66" t="n">
        <v>20208</v>
      </c>
      <c r="G79" s="44" t="n">
        <v>0</v>
      </c>
      <c r="H79" s="70" t="n">
        <v>5531</v>
      </c>
      <c r="I79" s="66" t="n">
        <v>17110</v>
      </c>
      <c r="J79" s="15" t="s">
        <v>1757</v>
      </c>
      <c r="K79" s="41" t="s">
        <v>1758</v>
      </c>
      <c r="L79" s="6"/>
    </row>
    <row r="80" customFormat="false" ht="15" hidden="false" customHeight="false" outlineLevel="0" collapsed="false">
      <c r="A80" s="40" t="n">
        <v>77</v>
      </c>
      <c r="B80" s="40" t="s">
        <v>1833</v>
      </c>
      <c r="C80" s="44" t="n">
        <v>23167</v>
      </c>
      <c r="D80" s="44" t="n">
        <v>21802</v>
      </c>
      <c r="E80" s="44" t="n">
        <v>21471</v>
      </c>
      <c r="F80" s="44" t="n">
        <v>20685</v>
      </c>
      <c r="G80" s="44" t="n">
        <v>0</v>
      </c>
      <c r="H80" s="70" t="n">
        <v>5662</v>
      </c>
      <c r="I80" s="66" t="n">
        <v>17505</v>
      </c>
      <c r="J80" s="46" t="s">
        <v>1771</v>
      </c>
      <c r="K80" s="41" t="s">
        <v>108</v>
      </c>
      <c r="L80" s="6"/>
    </row>
    <row r="81" customFormat="false" ht="15" hidden="false" customHeight="false" outlineLevel="0" collapsed="false">
      <c r="A81" s="40" t="n">
        <v>78</v>
      </c>
      <c r="B81" s="40" t="s">
        <v>1834</v>
      </c>
      <c r="C81" s="44" t="n">
        <v>23654</v>
      </c>
      <c r="D81" s="44" t="n">
        <v>22088</v>
      </c>
      <c r="E81" s="44" t="n">
        <v>21861</v>
      </c>
      <c r="F81" s="44" t="n">
        <v>21125</v>
      </c>
      <c r="G81" s="44" t="n">
        <v>0</v>
      </c>
      <c r="H81" s="70" t="n">
        <v>5781</v>
      </c>
      <c r="I81" s="66" t="n">
        <v>17873</v>
      </c>
      <c r="J81" s="46" t="s">
        <v>1771</v>
      </c>
      <c r="K81" s="41" t="s">
        <v>108</v>
      </c>
      <c r="L81" s="6"/>
    </row>
    <row r="82" customFormat="false" ht="15" hidden="false" customHeight="false" outlineLevel="0" collapsed="false">
      <c r="A82" s="40" t="n">
        <v>79</v>
      </c>
      <c r="B82" s="40" t="s">
        <v>1835</v>
      </c>
      <c r="C82" s="44" t="n">
        <v>24050</v>
      </c>
      <c r="D82" s="44" t="n">
        <v>22310</v>
      </c>
      <c r="E82" s="44" t="n">
        <v>22000</v>
      </c>
      <c r="F82" s="44" t="n">
        <v>21484</v>
      </c>
      <c r="G82" s="44" t="n">
        <v>0</v>
      </c>
      <c r="H82" s="70" t="n">
        <v>5886</v>
      </c>
      <c r="I82" s="66" t="n">
        <v>18164</v>
      </c>
      <c r="J82" s="46" t="s">
        <v>1771</v>
      </c>
      <c r="K82" s="41" t="s">
        <v>108</v>
      </c>
      <c r="L82" s="6"/>
    </row>
    <row r="83" customFormat="false" ht="15" hidden="false" customHeight="false" outlineLevel="0" collapsed="false">
      <c r="A83" s="40" t="n">
        <v>80</v>
      </c>
      <c r="B83" s="40" t="s">
        <v>1836</v>
      </c>
      <c r="C83" s="44" t="n">
        <v>24309</v>
      </c>
      <c r="D83" s="44" t="n">
        <v>22451</v>
      </c>
      <c r="E83" s="44" t="n">
        <v>21861</v>
      </c>
      <c r="F83" s="44" t="n">
        <v>21718</v>
      </c>
      <c r="G83" s="44" t="n">
        <v>0</v>
      </c>
      <c r="H83" s="70" t="n">
        <v>5975</v>
      </c>
      <c r="I83" s="66" t="n">
        <v>18334</v>
      </c>
      <c r="J83" s="46" t="s">
        <v>1771</v>
      </c>
      <c r="K83" s="41" t="s">
        <v>108</v>
      </c>
      <c r="L83" s="6"/>
    </row>
    <row r="84" customFormat="false" ht="15" hidden="false" customHeight="false" outlineLevel="0" collapsed="false">
      <c r="A84" s="40" t="n">
        <v>81</v>
      </c>
      <c r="B84" s="40" t="s">
        <v>1837</v>
      </c>
      <c r="C84" s="174" t="n">
        <v>24400</v>
      </c>
      <c r="D84" s="174" t="n">
        <v>22500</v>
      </c>
      <c r="E84" s="174" t="n">
        <v>21471</v>
      </c>
      <c r="F84" s="174" t="n">
        <v>21800</v>
      </c>
      <c r="G84" s="44" t="n">
        <v>0</v>
      </c>
      <c r="H84" s="70" t="n">
        <v>6044</v>
      </c>
      <c r="I84" s="66" t="n">
        <v>18356</v>
      </c>
      <c r="J84" s="15" t="s">
        <v>1757</v>
      </c>
      <c r="K84" s="41" t="s">
        <v>1758</v>
      </c>
      <c r="L84" s="6"/>
    </row>
    <row r="85" customFormat="false" ht="15" hidden="false" customHeight="false" outlineLevel="0" collapsed="false">
      <c r="A85" s="40" t="n">
        <v>82</v>
      </c>
      <c r="B85" s="40" t="s">
        <v>1838</v>
      </c>
      <c r="C85" s="66" t="n">
        <v>24309</v>
      </c>
      <c r="D85" s="66" t="n">
        <v>22451</v>
      </c>
      <c r="E85" s="66" t="n">
        <v>20896</v>
      </c>
      <c r="F85" s="66" t="n">
        <v>21718</v>
      </c>
      <c r="G85" s="44" t="n">
        <v>0</v>
      </c>
      <c r="H85" s="70" t="n">
        <v>6093</v>
      </c>
      <c r="I85" s="66" t="n">
        <v>18216</v>
      </c>
      <c r="J85" s="15" t="s">
        <v>1757</v>
      </c>
      <c r="K85" s="41" t="s">
        <v>1758</v>
      </c>
      <c r="L85" s="6"/>
    </row>
    <row r="86" customFormat="false" ht="15" hidden="false" customHeight="false" outlineLevel="0" collapsed="false">
      <c r="A86" s="40" t="n">
        <v>83</v>
      </c>
      <c r="B86" s="40" t="s">
        <v>1839</v>
      </c>
      <c r="C86" s="174" t="n">
        <v>24050</v>
      </c>
      <c r="D86" s="174" t="n">
        <v>22310</v>
      </c>
      <c r="E86" s="174" t="n">
        <v>20229</v>
      </c>
      <c r="F86" s="174" t="n">
        <v>21484</v>
      </c>
      <c r="G86" s="44" t="n">
        <v>0</v>
      </c>
      <c r="H86" s="70" t="n">
        <v>6120</v>
      </c>
      <c r="I86" s="66" t="n">
        <v>17930</v>
      </c>
      <c r="J86" s="15" t="s">
        <v>1757</v>
      </c>
      <c r="K86" s="41" t="s">
        <v>1758</v>
      </c>
      <c r="L86" s="6"/>
    </row>
    <row r="87" customFormat="false" ht="15" hidden="false" customHeight="false" outlineLevel="0" collapsed="false">
      <c r="A87" s="40" t="n">
        <v>84</v>
      </c>
      <c r="B87" s="40" t="s">
        <v>1840</v>
      </c>
      <c r="C87" s="66" t="n">
        <v>23654</v>
      </c>
      <c r="D87" s="66" t="n">
        <v>22088</v>
      </c>
      <c r="E87" s="66" t="n">
        <v>19560</v>
      </c>
      <c r="F87" s="66" t="n">
        <v>21125</v>
      </c>
      <c r="G87" s="44" t="n">
        <v>0</v>
      </c>
      <c r="H87" s="70" t="n">
        <v>6126</v>
      </c>
      <c r="I87" s="66" t="n">
        <v>17528</v>
      </c>
      <c r="J87" s="15" t="s">
        <v>1757</v>
      </c>
      <c r="K87" s="41" t="s">
        <v>1758</v>
      </c>
      <c r="L87" s="6"/>
    </row>
    <row r="88" customFormat="false" ht="15" hidden="false" customHeight="false" outlineLevel="0" collapsed="false">
      <c r="A88" s="40" t="n">
        <v>85</v>
      </c>
      <c r="B88" s="40" t="s">
        <v>1841</v>
      </c>
      <c r="C88" s="174" t="n">
        <v>23167</v>
      </c>
      <c r="D88" s="174" t="n">
        <v>21802</v>
      </c>
      <c r="E88" s="174" t="n">
        <v>18960</v>
      </c>
      <c r="F88" s="174" t="n">
        <v>20685</v>
      </c>
      <c r="G88" s="44" t="n">
        <v>0</v>
      </c>
      <c r="H88" s="70" t="n">
        <v>6111</v>
      </c>
      <c r="I88" s="66" t="n">
        <v>17056</v>
      </c>
      <c r="J88" s="15" t="s">
        <v>1757</v>
      </c>
      <c r="K88" s="41" t="s">
        <v>1758</v>
      </c>
      <c r="L88" s="6"/>
    </row>
    <row r="89" customFormat="false" ht="15" hidden="false" customHeight="false" outlineLevel="0" collapsed="false">
      <c r="A89" s="40" t="n">
        <v>86</v>
      </c>
      <c r="B89" s="40" t="s">
        <v>1842</v>
      </c>
      <c r="C89" s="66" t="n">
        <v>22641</v>
      </c>
      <c r="D89" s="66" t="n">
        <v>21473</v>
      </c>
      <c r="E89" s="66" t="n">
        <v>18473</v>
      </c>
      <c r="F89" s="66" t="n">
        <v>20208</v>
      </c>
      <c r="G89" s="44" t="n">
        <v>0</v>
      </c>
      <c r="H89" s="70" t="n">
        <v>6077</v>
      </c>
      <c r="I89" s="66" t="n">
        <v>16564</v>
      </c>
      <c r="J89" s="15" t="s">
        <v>1757</v>
      </c>
      <c r="K89" s="41" t="s">
        <v>1758</v>
      </c>
      <c r="L89" s="6"/>
    </row>
    <row r="90" customFormat="false" ht="15" hidden="false" customHeight="false" outlineLevel="0" collapsed="false">
      <c r="A90" s="40" t="n">
        <v>87</v>
      </c>
      <c r="B90" s="40" t="s">
        <v>1843</v>
      </c>
      <c r="C90" s="174" t="n">
        <v>22122</v>
      </c>
      <c r="D90" s="174" t="n">
        <v>21122</v>
      </c>
      <c r="E90" s="174" t="n">
        <v>18109</v>
      </c>
      <c r="F90" s="174" t="n">
        <v>19739</v>
      </c>
      <c r="G90" s="44" t="n">
        <v>0</v>
      </c>
      <c r="H90" s="70" t="n">
        <v>6026</v>
      </c>
      <c r="I90" s="66" t="n">
        <v>16096</v>
      </c>
      <c r="J90" s="15" t="s">
        <v>1757</v>
      </c>
      <c r="K90" s="41" t="s">
        <v>1758</v>
      </c>
      <c r="L90" s="6"/>
    </row>
    <row r="91" customFormat="false" ht="15" hidden="false" customHeight="false" outlineLevel="0" collapsed="false">
      <c r="A91" s="40" t="n">
        <v>88</v>
      </c>
      <c r="B91" s="40" t="s">
        <v>1844</v>
      </c>
      <c r="C91" s="66" t="n">
        <v>21650</v>
      </c>
      <c r="D91" s="66" t="n">
        <v>20772</v>
      </c>
      <c r="E91" s="66" t="n">
        <v>17858</v>
      </c>
      <c r="F91" s="66" t="n">
        <v>19312</v>
      </c>
      <c r="G91" s="44" t="n">
        <v>0</v>
      </c>
      <c r="H91" s="70" t="n">
        <v>5961</v>
      </c>
      <c r="I91" s="66" t="n">
        <v>15689</v>
      </c>
      <c r="J91" s="15" t="s">
        <v>1757</v>
      </c>
      <c r="K91" s="41" t="s">
        <v>1758</v>
      </c>
      <c r="L91" s="6"/>
    </row>
    <row r="92" customFormat="false" ht="15" hidden="false" customHeight="false" outlineLevel="0" collapsed="false">
      <c r="A92" s="40" t="n">
        <v>89</v>
      </c>
      <c r="B92" s="40" t="s">
        <v>1845</v>
      </c>
      <c r="C92" s="174" t="n">
        <v>21247</v>
      </c>
      <c r="D92" s="174" t="n">
        <v>20438</v>
      </c>
      <c r="E92" s="174" t="n">
        <v>17697</v>
      </c>
      <c r="F92" s="174" t="n">
        <v>18947</v>
      </c>
      <c r="G92" s="44" t="n">
        <v>0</v>
      </c>
      <c r="H92" s="70" t="n">
        <v>5885</v>
      </c>
      <c r="I92" s="66" t="n">
        <v>15362</v>
      </c>
      <c r="J92" s="15" t="s">
        <v>1757</v>
      </c>
      <c r="K92" s="41" t="s">
        <v>1758</v>
      </c>
      <c r="L92" s="6"/>
    </row>
    <row r="93" customFormat="false" ht="15" hidden="false" customHeight="false" outlineLevel="0" collapsed="false">
      <c r="A93" s="40" t="n">
        <v>90</v>
      </c>
      <c r="B93" s="40" t="s">
        <v>1846</v>
      </c>
      <c r="C93" s="66" t="n">
        <v>20924</v>
      </c>
      <c r="D93" s="66" t="n">
        <v>20136</v>
      </c>
      <c r="E93" s="66" t="n">
        <v>17602</v>
      </c>
      <c r="F93" s="66" t="n">
        <v>18655</v>
      </c>
      <c r="G93" s="44" t="n">
        <v>0</v>
      </c>
      <c r="H93" s="70" t="n">
        <v>5802</v>
      </c>
      <c r="I93" s="66" t="n">
        <v>15122</v>
      </c>
      <c r="J93" s="15" t="s">
        <v>1757</v>
      </c>
      <c r="K93" s="41" t="s">
        <v>1758</v>
      </c>
      <c r="L93" s="6"/>
    </row>
    <row r="94" customFormat="false" ht="15" hidden="false" customHeight="false" outlineLevel="0" collapsed="false">
      <c r="A94" s="40" t="n">
        <v>91</v>
      </c>
      <c r="B94" s="40" t="s">
        <v>1847</v>
      </c>
      <c r="C94" s="174" t="n">
        <v>20679</v>
      </c>
      <c r="D94" s="174" t="n">
        <v>19872</v>
      </c>
      <c r="E94" s="174" t="n">
        <v>17549</v>
      </c>
      <c r="F94" s="174" t="n">
        <v>18433</v>
      </c>
      <c r="G94" s="44" t="n">
        <v>0</v>
      </c>
      <c r="H94" s="70" t="n">
        <v>5715</v>
      </c>
      <c r="I94" s="66" t="n">
        <v>14964</v>
      </c>
      <c r="J94" s="15" t="s">
        <v>1757</v>
      </c>
      <c r="K94" s="41" t="s">
        <v>1758</v>
      </c>
      <c r="L94" s="6"/>
    </row>
    <row r="95" customFormat="false" ht="15" hidden="false" customHeight="false" outlineLevel="0" collapsed="false">
      <c r="A95" s="40" t="n">
        <v>92</v>
      </c>
      <c r="B95" s="40" t="s">
        <v>1848</v>
      </c>
      <c r="C95" s="66" t="n">
        <v>20503</v>
      </c>
      <c r="D95" s="66" t="n">
        <v>19651</v>
      </c>
      <c r="E95" s="66" t="n">
        <v>17522</v>
      </c>
      <c r="F95" s="66" t="n">
        <v>18275</v>
      </c>
      <c r="G95" s="44" t="n">
        <v>0</v>
      </c>
      <c r="H95" s="70" t="n">
        <v>5628</v>
      </c>
      <c r="I95" s="66" t="n">
        <v>14875</v>
      </c>
      <c r="J95" s="15" t="s">
        <v>1757</v>
      </c>
      <c r="K95" s="41" t="s">
        <v>1758</v>
      </c>
      <c r="L95" s="6"/>
    </row>
    <row r="96" customFormat="false" ht="15" hidden="false" customHeight="false" outlineLevel="0" collapsed="false">
      <c r="A96" s="40" t="n">
        <v>93</v>
      </c>
      <c r="B96" s="40" t="s">
        <v>1849</v>
      </c>
      <c r="C96" s="174" t="n">
        <v>20384</v>
      </c>
      <c r="D96" s="174" t="n">
        <v>19473</v>
      </c>
      <c r="E96" s="174" t="n">
        <v>17509</v>
      </c>
      <c r="F96" s="174" t="n">
        <v>18166</v>
      </c>
      <c r="G96" s="44" t="n">
        <v>0</v>
      </c>
      <c r="H96" s="70" t="n">
        <v>5542</v>
      </c>
      <c r="I96" s="66" t="n">
        <v>14842</v>
      </c>
      <c r="J96" s="15" t="s">
        <v>1757</v>
      </c>
      <c r="K96" s="41" t="s">
        <v>1758</v>
      </c>
      <c r="L96" s="6"/>
    </row>
    <row r="97" customFormat="false" ht="15" hidden="false" customHeight="false" outlineLevel="0" collapsed="false">
      <c r="A97" s="40" t="n">
        <v>94</v>
      </c>
      <c r="B97" s="40" t="s">
        <v>1850</v>
      </c>
      <c r="C97" s="66" t="n">
        <v>20307</v>
      </c>
      <c r="D97" s="66" t="n">
        <v>19334</v>
      </c>
      <c r="E97" s="66" t="n">
        <v>17503</v>
      </c>
      <c r="F97" s="66" t="n">
        <v>18097</v>
      </c>
      <c r="G97" s="44" t="n">
        <v>0</v>
      </c>
      <c r="H97" s="70" t="n">
        <v>5461</v>
      </c>
      <c r="I97" s="66" t="n">
        <v>14846</v>
      </c>
      <c r="J97" s="15" t="s">
        <v>1757</v>
      </c>
      <c r="K97" s="41" t="s">
        <v>1758</v>
      </c>
      <c r="L97" s="6"/>
    </row>
    <row r="98" customFormat="false" ht="15" hidden="false" customHeight="false" outlineLevel="0" collapsed="false">
      <c r="A98" s="40" t="n">
        <v>95</v>
      </c>
      <c r="B98" s="40" t="s">
        <v>1851</v>
      </c>
      <c r="C98" s="174" t="n">
        <v>20259</v>
      </c>
      <c r="D98" s="174" t="n">
        <v>19230</v>
      </c>
      <c r="E98" s="174" t="n">
        <v>17501</v>
      </c>
      <c r="F98" s="174" t="n">
        <v>18054</v>
      </c>
      <c r="G98" s="44" t="n">
        <v>0</v>
      </c>
      <c r="H98" s="70" t="n">
        <v>5385</v>
      </c>
      <c r="I98" s="66" t="n">
        <v>14874</v>
      </c>
      <c r="J98" s="15" t="s">
        <v>1757</v>
      </c>
      <c r="K98" s="41" t="s">
        <v>1758</v>
      </c>
      <c r="L98" s="6"/>
    </row>
    <row r="99" customFormat="false" ht="15" hidden="false" customHeight="false" outlineLevel="0" collapsed="false">
      <c r="A99" s="40" t="n">
        <v>96</v>
      </c>
      <c r="B99" s="40" t="s">
        <v>1852</v>
      </c>
      <c r="C99" s="66" t="n">
        <v>20231</v>
      </c>
      <c r="D99" s="66" t="n">
        <v>19153</v>
      </c>
      <c r="E99" s="66" t="n">
        <v>17500</v>
      </c>
      <c r="F99" s="66" t="n">
        <v>18028</v>
      </c>
      <c r="G99" s="44" t="n">
        <v>0</v>
      </c>
      <c r="H99" s="70" t="n">
        <v>5317</v>
      </c>
      <c r="I99" s="66" t="n">
        <v>14914</v>
      </c>
      <c r="J99" s="15" t="s">
        <v>1757</v>
      </c>
      <c r="K99" s="41" t="s">
        <v>1758</v>
      </c>
      <c r="L99" s="6"/>
    </row>
  </sheetData>
  <mergeCells count="2">
    <mergeCell ref="A1:L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4" min="3" style="0" width="14"/>
    <col collapsed="false" customWidth="true" hidden="false" outlineLevel="0" max="10" min="5" style="0" width="12"/>
    <col collapsed="false" customWidth="true" hidden="false" outlineLevel="0" max="11" min="11" style="0" width="16"/>
    <col collapsed="false" customWidth="true" hidden="false" outlineLevel="0" max="12" min="12" style="0" width="28"/>
  </cols>
  <sheetData>
    <row r="1" customFormat="false" ht="27.75" hidden="false" customHeight="true" outlineLevel="0" collapsed="false">
      <c r="A1" s="8" t="s">
        <v>1853</v>
      </c>
      <c r="B1" s="8"/>
      <c r="C1" s="8"/>
      <c r="D1" s="8"/>
      <c r="E1" s="8"/>
      <c r="F1" s="8"/>
      <c r="G1" s="8"/>
      <c r="H1" s="8"/>
      <c r="I1" s="8"/>
      <c r="J1" s="8"/>
      <c r="K1" s="8"/>
    </row>
    <row r="2" customFormat="false" ht="51.75" hidden="false" customHeight="true" outlineLevel="0" collapsed="false">
      <c r="A2" s="121" t="s">
        <v>1854</v>
      </c>
      <c r="B2" s="121"/>
      <c r="C2" s="121"/>
      <c r="D2" s="121"/>
      <c r="E2" s="121"/>
      <c r="F2" s="121"/>
      <c r="G2" s="121"/>
      <c r="H2" s="121"/>
      <c r="I2" s="121"/>
      <c r="J2" s="121"/>
      <c r="K2" s="121"/>
    </row>
    <row r="3" customFormat="false" ht="42" hidden="false" customHeight="true" outlineLevel="0" collapsed="false">
      <c r="A3" s="3" t="s">
        <v>1747</v>
      </c>
      <c r="B3" s="3" t="s">
        <v>1748</v>
      </c>
      <c r="C3" s="3" t="s">
        <v>1855</v>
      </c>
      <c r="D3" s="3" t="s">
        <v>1856</v>
      </c>
      <c r="E3" s="3" t="s">
        <v>1857</v>
      </c>
      <c r="F3" s="3" t="s">
        <v>1858</v>
      </c>
      <c r="G3" s="3" t="s">
        <v>1859</v>
      </c>
      <c r="H3" s="3" t="s">
        <v>1860</v>
      </c>
      <c r="I3" s="3" t="s">
        <v>1861</v>
      </c>
      <c r="J3" s="3" t="s">
        <v>1862</v>
      </c>
      <c r="K3" s="3" t="s">
        <v>1863</v>
      </c>
      <c r="L3" s="3" t="s">
        <v>1367</v>
      </c>
    </row>
    <row r="4" customFormat="false" ht="15" hidden="false" customHeight="false" outlineLevel="0" collapsed="false">
      <c r="A4" s="40" t="n">
        <v>1</v>
      </c>
      <c r="B4" s="40" t="s">
        <v>795</v>
      </c>
      <c r="C4" s="44" t="n">
        <v>0</v>
      </c>
      <c r="D4" s="70" t="n">
        <v>4999</v>
      </c>
      <c r="E4" s="174" t="n">
        <v>0</v>
      </c>
      <c r="F4" s="174" t="n">
        <v>0</v>
      </c>
      <c r="G4" s="174" t="n">
        <v>0</v>
      </c>
      <c r="H4" s="174" t="n">
        <v>0</v>
      </c>
      <c r="I4" s="174" t="n">
        <v>2249</v>
      </c>
      <c r="J4" s="174" t="n">
        <v>1999</v>
      </c>
      <c r="K4" s="15" t="s">
        <v>1757</v>
      </c>
      <c r="L4" s="41" t="s">
        <v>1864</v>
      </c>
    </row>
    <row r="5" customFormat="false" ht="15" hidden="false" customHeight="false" outlineLevel="0" collapsed="false">
      <c r="A5" s="40" t="n">
        <v>2</v>
      </c>
      <c r="B5" s="40" t="s">
        <v>1759</v>
      </c>
      <c r="C5" s="44" t="n">
        <v>0</v>
      </c>
      <c r="D5" s="70" t="n">
        <v>4999</v>
      </c>
      <c r="E5" s="66" t="n">
        <v>0</v>
      </c>
      <c r="F5" s="66" t="n">
        <v>0</v>
      </c>
      <c r="G5" s="66" t="n">
        <v>0</v>
      </c>
      <c r="H5" s="66" t="n">
        <v>0</v>
      </c>
      <c r="I5" s="66" t="n">
        <v>2249</v>
      </c>
      <c r="J5" s="66" t="n">
        <v>1999</v>
      </c>
      <c r="K5" s="15" t="s">
        <v>1757</v>
      </c>
      <c r="L5" s="41" t="s">
        <v>1864</v>
      </c>
    </row>
    <row r="6" customFormat="false" ht="15" hidden="false" customHeight="false" outlineLevel="0" collapsed="false">
      <c r="A6" s="40" t="n">
        <v>3</v>
      </c>
      <c r="B6" s="40" t="s">
        <v>1760</v>
      </c>
      <c r="C6" s="44" t="n">
        <v>0</v>
      </c>
      <c r="D6" s="70" t="n">
        <v>4999</v>
      </c>
      <c r="E6" s="174" t="n">
        <v>0</v>
      </c>
      <c r="F6" s="174" t="n">
        <v>0</v>
      </c>
      <c r="G6" s="174" t="n">
        <v>0</v>
      </c>
      <c r="H6" s="174" t="n">
        <v>0</v>
      </c>
      <c r="I6" s="174" t="n">
        <v>2249</v>
      </c>
      <c r="J6" s="174" t="n">
        <v>1999</v>
      </c>
      <c r="K6" s="15" t="s">
        <v>1757</v>
      </c>
      <c r="L6" s="41" t="s">
        <v>1864</v>
      </c>
    </row>
    <row r="7" customFormat="false" ht="15" hidden="false" customHeight="false" outlineLevel="0" collapsed="false">
      <c r="A7" s="40" t="n">
        <v>4</v>
      </c>
      <c r="B7" s="40" t="s">
        <v>1761</v>
      </c>
      <c r="C7" s="44" t="n">
        <v>0</v>
      </c>
      <c r="D7" s="70" t="n">
        <v>4999</v>
      </c>
      <c r="E7" s="66" t="n">
        <v>0</v>
      </c>
      <c r="F7" s="66" t="n">
        <v>0</v>
      </c>
      <c r="G7" s="66" t="n">
        <v>0</v>
      </c>
      <c r="H7" s="66" t="n">
        <v>0</v>
      </c>
      <c r="I7" s="66" t="n">
        <v>2249</v>
      </c>
      <c r="J7" s="66" t="n">
        <v>1999</v>
      </c>
      <c r="K7" s="15" t="s">
        <v>1757</v>
      </c>
      <c r="L7" s="41" t="s">
        <v>1864</v>
      </c>
    </row>
    <row r="8" customFormat="false" ht="15" hidden="false" customHeight="false" outlineLevel="0" collapsed="false">
      <c r="A8" s="40" t="n">
        <v>5</v>
      </c>
      <c r="B8" s="40" t="s">
        <v>1762</v>
      </c>
      <c r="C8" s="44" t="n">
        <v>0</v>
      </c>
      <c r="D8" s="70" t="n">
        <v>4999</v>
      </c>
      <c r="E8" s="174" t="n">
        <v>0</v>
      </c>
      <c r="F8" s="174" t="n">
        <v>0</v>
      </c>
      <c r="G8" s="174" t="n">
        <v>0</v>
      </c>
      <c r="H8" s="174" t="n">
        <v>0</v>
      </c>
      <c r="I8" s="174" t="n">
        <v>2249</v>
      </c>
      <c r="J8" s="174" t="n">
        <v>1999</v>
      </c>
      <c r="K8" s="15" t="s">
        <v>1757</v>
      </c>
      <c r="L8" s="41" t="s">
        <v>1864</v>
      </c>
    </row>
    <row r="9" customFormat="false" ht="15" hidden="false" customHeight="false" outlineLevel="0" collapsed="false">
      <c r="A9" s="40" t="n">
        <v>6</v>
      </c>
      <c r="B9" s="40" t="s">
        <v>1763</v>
      </c>
      <c r="C9" s="44" t="n">
        <v>0</v>
      </c>
      <c r="D9" s="70" t="n">
        <v>4999</v>
      </c>
      <c r="E9" s="66" t="n">
        <v>0</v>
      </c>
      <c r="F9" s="66" t="n">
        <v>0</v>
      </c>
      <c r="G9" s="66" t="n">
        <v>0</v>
      </c>
      <c r="H9" s="66" t="n">
        <v>0</v>
      </c>
      <c r="I9" s="66" t="n">
        <v>2249</v>
      </c>
      <c r="J9" s="66" t="n">
        <v>1999</v>
      </c>
      <c r="K9" s="15" t="s">
        <v>1757</v>
      </c>
      <c r="L9" s="41" t="s">
        <v>1864</v>
      </c>
    </row>
    <row r="10" customFormat="false" ht="15" hidden="false" customHeight="false" outlineLevel="0" collapsed="false">
      <c r="A10" s="40" t="n">
        <v>7</v>
      </c>
      <c r="B10" s="40" t="s">
        <v>1764</v>
      </c>
      <c r="C10" s="44" t="n">
        <v>0</v>
      </c>
      <c r="D10" s="70" t="n">
        <v>4998</v>
      </c>
      <c r="E10" s="174" t="n">
        <v>0</v>
      </c>
      <c r="F10" s="174" t="n">
        <v>0</v>
      </c>
      <c r="G10" s="174" t="n">
        <v>0</v>
      </c>
      <c r="H10" s="174" t="n">
        <v>0</v>
      </c>
      <c r="I10" s="174" t="n">
        <v>2249</v>
      </c>
      <c r="J10" s="174" t="n">
        <v>1999</v>
      </c>
      <c r="K10" s="15" t="s">
        <v>1757</v>
      </c>
      <c r="L10" s="41" t="s">
        <v>1864</v>
      </c>
    </row>
    <row r="11" customFormat="false" ht="15" hidden="false" customHeight="false" outlineLevel="0" collapsed="false">
      <c r="A11" s="40" t="n">
        <v>8</v>
      </c>
      <c r="B11" s="40" t="s">
        <v>1765</v>
      </c>
      <c r="C11" s="44" t="n">
        <v>0</v>
      </c>
      <c r="D11" s="70" t="n">
        <v>4998</v>
      </c>
      <c r="E11" s="66" t="n">
        <v>0</v>
      </c>
      <c r="F11" s="66" t="n">
        <v>0</v>
      </c>
      <c r="G11" s="66" t="n">
        <v>0</v>
      </c>
      <c r="H11" s="66" t="n">
        <v>0</v>
      </c>
      <c r="I11" s="66" t="n">
        <v>2249</v>
      </c>
      <c r="J11" s="66" t="n">
        <v>1999</v>
      </c>
      <c r="K11" s="15" t="s">
        <v>1757</v>
      </c>
      <c r="L11" s="41" t="s">
        <v>1864</v>
      </c>
    </row>
    <row r="12" customFormat="false" ht="15" hidden="false" customHeight="false" outlineLevel="0" collapsed="false">
      <c r="A12" s="40" t="n">
        <v>9</v>
      </c>
      <c r="B12" s="40" t="s">
        <v>1766</v>
      </c>
      <c r="C12" s="44" t="n">
        <v>0</v>
      </c>
      <c r="D12" s="70" t="n">
        <v>4997</v>
      </c>
      <c r="E12" s="174" t="n">
        <v>0</v>
      </c>
      <c r="F12" s="174" t="n">
        <v>0</v>
      </c>
      <c r="G12" s="174" t="n">
        <v>0</v>
      </c>
      <c r="H12" s="174" t="n">
        <v>0</v>
      </c>
      <c r="I12" s="174" t="n">
        <v>2248</v>
      </c>
      <c r="J12" s="174" t="n">
        <v>1998</v>
      </c>
      <c r="K12" s="15" t="s">
        <v>1757</v>
      </c>
      <c r="L12" s="41" t="s">
        <v>1864</v>
      </c>
    </row>
    <row r="13" customFormat="false" ht="15" hidden="false" customHeight="false" outlineLevel="0" collapsed="false">
      <c r="A13" s="40" t="n">
        <v>10</v>
      </c>
      <c r="B13" s="40" t="s">
        <v>1767</v>
      </c>
      <c r="C13" s="44" t="n">
        <v>0</v>
      </c>
      <c r="D13" s="70" t="n">
        <v>4997</v>
      </c>
      <c r="E13" s="66" t="n">
        <v>0</v>
      </c>
      <c r="F13" s="66" t="n">
        <v>0</v>
      </c>
      <c r="G13" s="66" t="n">
        <v>0</v>
      </c>
      <c r="H13" s="66" t="n">
        <v>0</v>
      </c>
      <c r="I13" s="66" t="n">
        <v>2248</v>
      </c>
      <c r="J13" s="66" t="n">
        <v>1998</v>
      </c>
      <c r="K13" s="15" t="s">
        <v>1757</v>
      </c>
      <c r="L13" s="41" t="s">
        <v>1864</v>
      </c>
    </row>
    <row r="14" customFormat="false" ht="15" hidden="false" customHeight="false" outlineLevel="0" collapsed="false">
      <c r="A14" s="40" t="n">
        <v>11</v>
      </c>
      <c r="B14" s="40" t="s">
        <v>1768</v>
      </c>
      <c r="C14" s="44" t="n">
        <v>0</v>
      </c>
      <c r="D14" s="70" t="n">
        <v>4996</v>
      </c>
      <c r="E14" s="174" t="n">
        <v>0</v>
      </c>
      <c r="F14" s="174" t="n">
        <v>0</v>
      </c>
      <c r="G14" s="174" t="n">
        <v>0</v>
      </c>
      <c r="H14" s="174" t="n">
        <v>0</v>
      </c>
      <c r="I14" s="174" t="n">
        <v>2248</v>
      </c>
      <c r="J14" s="174" t="n">
        <v>1998</v>
      </c>
      <c r="K14" s="15" t="s">
        <v>1757</v>
      </c>
      <c r="L14" s="41" t="s">
        <v>1864</v>
      </c>
    </row>
    <row r="15" customFormat="false" ht="15" hidden="false" customHeight="false" outlineLevel="0" collapsed="false">
      <c r="A15" s="40" t="n">
        <v>12</v>
      </c>
      <c r="B15" s="40" t="s">
        <v>1769</v>
      </c>
      <c r="C15" s="44" t="n">
        <v>0</v>
      </c>
      <c r="D15" s="70" t="n">
        <v>4994</v>
      </c>
      <c r="E15" s="66" t="n">
        <v>0</v>
      </c>
      <c r="F15" s="66" t="n">
        <v>0</v>
      </c>
      <c r="G15" s="66" t="n">
        <v>0</v>
      </c>
      <c r="H15" s="66" t="n">
        <v>0</v>
      </c>
      <c r="I15" s="66" t="n">
        <v>2247</v>
      </c>
      <c r="J15" s="66" t="n">
        <v>1997</v>
      </c>
      <c r="K15" s="15" t="s">
        <v>1757</v>
      </c>
      <c r="L15" s="41" t="s">
        <v>1864</v>
      </c>
    </row>
    <row r="16" customFormat="false" ht="15" hidden="false" customHeight="false" outlineLevel="0" collapsed="false">
      <c r="A16" s="40" t="n">
        <v>13</v>
      </c>
      <c r="B16" s="40" t="s">
        <v>1770</v>
      </c>
      <c r="C16" s="44" t="n">
        <v>0</v>
      </c>
      <c r="D16" s="70" t="n">
        <v>4993</v>
      </c>
      <c r="E16" s="174" t="n">
        <v>0</v>
      </c>
      <c r="F16" s="174" t="n">
        <v>0</v>
      </c>
      <c r="G16" s="174" t="n">
        <v>0</v>
      </c>
      <c r="H16" s="174" t="n">
        <v>0</v>
      </c>
      <c r="I16" s="174" t="n">
        <v>2246</v>
      </c>
      <c r="J16" s="174" t="n">
        <v>1997</v>
      </c>
      <c r="K16" s="15" t="s">
        <v>1757</v>
      </c>
      <c r="L16" s="41" t="s">
        <v>1864</v>
      </c>
    </row>
    <row r="17" customFormat="false" ht="15" hidden="false" customHeight="false" outlineLevel="0" collapsed="false">
      <c r="A17" s="40" t="n">
        <v>14</v>
      </c>
      <c r="B17" s="40" t="s">
        <v>1772</v>
      </c>
      <c r="C17" s="44" t="n">
        <v>0</v>
      </c>
      <c r="D17" s="70" t="n">
        <v>4990</v>
      </c>
      <c r="E17" s="66" t="n">
        <v>0</v>
      </c>
      <c r="F17" s="66" t="n">
        <v>0</v>
      </c>
      <c r="G17" s="66" t="n">
        <v>0</v>
      </c>
      <c r="H17" s="66" t="n">
        <v>0</v>
      </c>
      <c r="I17" s="66" t="n">
        <v>2245</v>
      </c>
      <c r="J17" s="66" t="n">
        <v>1996</v>
      </c>
      <c r="K17" s="15" t="s">
        <v>1757</v>
      </c>
      <c r="L17" s="41" t="s">
        <v>1864</v>
      </c>
    </row>
    <row r="18" customFormat="false" ht="15" hidden="false" customHeight="false" outlineLevel="0" collapsed="false">
      <c r="A18" s="40" t="n">
        <v>15</v>
      </c>
      <c r="B18" s="40" t="s">
        <v>1773</v>
      </c>
      <c r="C18" s="44" t="n">
        <v>0</v>
      </c>
      <c r="D18" s="70" t="n">
        <v>4988</v>
      </c>
      <c r="E18" s="174" t="n">
        <v>0</v>
      </c>
      <c r="F18" s="174" t="n">
        <v>0</v>
      </c>
      <c r="G18" s="174" t="n">
        <v>0</v>
      </c>
      <c r="H18" s="174" t="n">
        <v>0</v>
      </c>
      <c r="I18" s="174" t="n">
        <v>2244</v>
      </c>
      <c r="J18" s="174" t="n">
        <v>1995</v>
      </c>
      <c r="K18" s="15" t="s">
        <v>1757</v>
      </c>
      <c r="L18" s="41" t="s">
        <v>1864</v>
      </c>
    </row>
    <row r="19" customFormat="false" ht="15" hidden="false" customHeight="false" outlineLevel="0" collapsed="false">
      <c r="A19" s="40" t="n">
        <v>16</v>
      </c>
      <c r="B19" s="40" t="s">
        <v>1774</v>
      </c>
      <c r="C19" s="44" t="n">
        <v>0</v>
      </c>
      <c r="D19" s="70" t="n">
        <v>4984</v>
      </c>
      <c r="E19" s="66" t="n">
        <v>0</v>
      </c>
      <c r="F19" s="66" t="n">
        <v>0</v>
      </c>
      <c r="G19" s="66" t="n">
        <v>0</v>
      </c>
      <c r="H19" s="66" t="n">
        <v>0</v>
      </c>
      <c r="I19" s="66" t="n">
        <v>2242</v>
      </c>
      <c r="J19" s="66" t="n">
        <v>1993</v>
      </c>
      <c r="K19" s="15" t="s">
        <v>1757</v>
      </c>
      <c r="L19" s="41" t="s">
        <v>1864</v>
      </c>
    </row>
    <row r="20" customFormat="false" ht="15" hidden="false" customHeight="false" outlineLevel="0" collapsed="false">
      <c r="A20" s="40" t="n">
        <v>17</v>
      </c>
      <c r="B20" s="40" t="s">
        <v>1775</v>
      </c>
      <c r="C20" s="44" t="n">
        <v>0</v>
      </c>
      <c r="D20" s="70" t="n">
        <v>4980</v>
      </c>
      <c r="E20" s="174" t="n">
        <v>0</v>
      </c>
      <c r="F20" s="174" t="n">
        <v>0</v>
      </c>
      <c r="G20" s="174" t="n">
        <v>0</v>
      </c>
      <c r="H20" s="174" t="n">
        <v>0</v>
      </c>
      <c r="I20" s="174" t="n">
        <v>2241</v>
      </c>
      <c r="J20" s="174" t="n">
        <v>1992</v>
      </c>
      <c r="K20" s="15" t="s">
        <v>1757</v>
      </c>
      <c r="L20" s="41" t="s">
        <v>1864</v>
      </c>
    </row>
    <row r="21" customFormat="false" ht="15" hidden="false" customHeight="false" outlineLevel="0" collapsed="false">
      <c r="A21" s="40" t="n">
        <v>18</v>
      </c>
      <c r="B21" s="40" t="s">
        <v>1776</v>
      </c>
      <c r="C21" s="44" t="n">
        <v>0</v>
      </c>
      <c r="D21" s="70" t="n">
        <v>4974</v>
      </c>
      <c r="E21" s="66" t="n">
        <v>0</v>
      </c>
      <c r="F21" s="66" t="n">
        <v>0</v>
      </c>
      <c r="G21" s="66" t="n">
        <v>0</v>
      </c>
      <c r="H21" s="66" t="n">
        <v>0</v>
      </c>
      <c r="I21" s="66" t="n">
        <v>2238</v>
      </c>
      <c r="J21" s="66" t="n">
        <v>1989</v>
      </c>
      <c r="K21" s="15" t="s">
        <v>1757</v>
      </c>
      <c r="L21" s="41" t="s">
        <v>1864</v>
      </c>
    </row>
    <row r="22" customFormat="false" ht="15" hidden="false" customHeight="false" outlineLevel="0" collapsed="false">
      <c r="A22" s="40" t="n">
        <v>19</v>
      </c>
      <c r="B22" s="40" t="s">
        <v>1777</v>
      </c>
      <c r="C22" s="44" t="n">
        <v>0</v>
      </c>
      <c r="D22" s="70" t="n">
        <v>4967</v>
      </c>
      <c r="E22" s="174" t="n">
        <v>0</v>
      </c>
      <c r="F22" s="174" t="n">
        <v>0</v>
      </c>
      <c r="G22" s="174" t="n">
        <v>0</v>
      </c>
      <c r="H22" s="174" t="n">
        <v>0</v>
      </c>
      <c r="I22" s="174" t="n">
        <v>2235</v>
      </c>
      <c r="J22" s="174" t="n">
        <v>1986</v>
      </c>
      <c r="K22" s="15" t="s">
        <v>1757</v>
      </c>
      <c r="L22" s="41" t="s">
        <v>1864</v>
      </c>
    </row>
    <row r="23" customFormat="false" ht="15" hidden="false" customHeight="false" outlineLevel="0" collapsed="false">
      <c r="A23" s="40" t="n">
        <v>20</v>
      </c>
      <c r="B23" s="40" t="s">
        <v>1778</v>
      </c>
      <c r="C23" s="44" t="n">
        <v>0</v>
      </c>
      <c r="D23" s="70" t="n">
        <v>4958</v>
      </c>
      <c r="E23" s="66" t="n">
        <v>0</v>
      </c>
      <c r="F23" s="66" t="n">
        <v>0</v>
      </c>
      <c r="G23" s="66" t="n">
        <v>0</v>
      </c>
      <c r="H23" s="66" t="n">
        <v>0</v>
      </c>
      <c r="I23" s="66" t="n">
        <v>2231</v>
      </c>
      <c r="J23" s="66" t="n">
        <v>1983</v>
      </c>
      <c r="K23" s="15" t="s">
        <v>1757</v>
      </c>
      <c r="L23" s="41" t="s">
        <v>1864</v>
      </c>
    </row>
    <row r="24" customFormat="false" ht="15" hidden="false" customHeight="false" outlineLevel="0" collapsed="false">
      <c r="A24" s="40" t="n">
        <v>21</v>
      </c>
      <c r="B24" s="40" t="s">
        <v>1779</v>
      </c>
      <c r="C24" s="44" t="n">
        <v>0</v>
      </c>
      <c r="D24" s="70" t="n">
        <v>4948</v>
      </c>
      <c r="E24" s="174" t="n">
        <v>0</v>
      </c>
      <c r="F24" s="174" t="n">
        <v>0</v>
      </c>
      <c r="G24" s="174" t="n">
        <v>0</v>
      </c>
      <c r="H24" s="174" t="n">
        <v>0</v>
      </c>
      <c r="I24" s="174" t="n">
        <v>2226</v>
      </c>
      <c r="J24" s="174" t="n">
        <v>1979</v>
      </c>
      <c r="K24" s="15" t="s">
        <v>1757</v>
      </c>
      <c r="L24" s="41" t="s">
        <v>1864</v>
      </c>
    </row>
    <row r="25" customFormat="false" ht="15" hidden="false" customHeight="false" outlineLevel="0" collapsed="false">
      <c r="A25" s="40" t="n">
        <v>22</v>
      </c>
      <c r="B25" s="40" t="s">
        <v>1780</v>
      </c>
      <c r="C25" s="44" t="n">
        <v>0</v>
      </c>
      <c r="D25" s="70" t="n">
        <v>4936</v>
      </c>
      <c r="E25" s="66" t="n">
        <v>0</v>
      </c>
      <c r="F25" s="66" t="n">
        <v>0</v>
      </c>
      <c r="G25" s="66" t="n">
        <v>0</v>
      </c>
      <c r="H25" s="66" t="n">
        <v>0</v>
      </c>
      <c r="I25" s="66" t="n">
        <v>2221</v>
      </c>
      <c r="J25" s="66" t="n">
        <v>1974</v>
      </c>
      <c r="K25" s="15" t="s">
        <v>1757</v>
      </c>
      <c r="L25" s="41" t="s">
        <v>1864</v>
      </c>
    </row>
    <row r="26" customFormat="false" ht="15" hidden="false" customHeight="false" outlineLevel="0" collapsed="false">
      <c r="A26" s="40" t="n">
        <v>23</v>
      </c>
      <c r="B26" s="40" t="s">
        <v>1781</v>
      </c>
      <c r="C26" s="44" t="n">
        <v>0</v>
      </c>
      <c r="D26" s="70" t="n">
        <v>4920</v>
      </c>
      <c r="E26" s="174" t="n">
        <v>0</v>
      </c>
      <c r="F26" s="174" t="n">
        <v>0</v>
      </c>
      <c r="G26" s="174" t="n">
        <v>0</v>
      </c>
      <c r="H26" s="174" t="n">
        <v>0</v>
      </c>
      <c r="I26" s="174" t="n">
        <v>2214</v>
      </c>
      <c r="J26" s="174" t="n">
        <v>1968</v>
      </c>
      <c r="K26" s="15" t="s">
        <v>1757</v>
      </c>
      <c r="L26" s="41" t="s">
        <v>1864</v>
      </c>
    </row>
    <row r="27" customFormat="false" ht="15" hidden="false" customHeight="false" outlineLevel="0" collapsed="false">
      <c r="A27" s="40" t="n">
        <v>24</v>
      </c>
      <c r="B27" s="40" t="s">
        <v>1782</v>
      </c>
      <c r="C27" s="44" t="n">
        <v>0</v>
      </c>
      <c r="D27" s="70" t="n">
        <v>4902</v>
      </c>
      <c r="E27" s="66" t="n">
        <v>0</v>
      </c>
      <c r="F27" s="66" t="n">
        <v>0</v>
      </c>
      <c r="G27" s="66" t="n">
        <v>0</v>
      </c>
      <c r="H27" s="66" t="n">
        <v>0</v>
      </c>
      <c r="I27" s="66" t="n">
        <v>2205</v>
      </c>
      <c r="J27" s="66" t="n">
        <v>1960</v>
      </c>
      <c r="K27" s="15" t="s">
        <v>1757</v>
      </c>
      <c r="L27" s="41" t="s">
        <v>1864</v>
      </c>
    </row>
    <row r="28" customFormat="false" ht="15" hidden="false" customHeight="false" outlineLevel="0" collapsed="false">
      <c r="A28" s="40" t="n">
        <v>25</v>
      </c>
      <c r="B28" s="40" t="s">
        <v>1783</v>
      </c>
      <c r="C28" s="44" t="n">
        <v>909</v>
      </c>
      <c r="D28" s="70" t="n">
        <v>4881</v>
      </c>
      <c r="E28" s="174" t="n">
        <v>163</v>
      </c>
      <c r="F28" s="174" t="n">
        <v>318</v>
      </c>
      <c r="G28" s="174" t="n">
        <v>227</v>
      </c>
      <c r="H28" s="174" t="n">
        <v>201</v>
      </c>
      <c r="I28" s="174" t="n">
        <v>2196</v>
      </c>
      <c r="J28" s="174" t="n">
        <v>1952</v>
      </c>
      <c r="K28" s="15" t="s">
        <v>1757</v>
      </c>
      <c r="L28" s="41" t="s">
        <v>1864</v>
      </c>
    </row>
    <row r="29" customFormat="false" ht="15" hidden="false" customHeight="false" outlineLevel="0" collapsed="false">
      <c r="A29" s="40" t="n">
        <v>26</v>
      </c>
      <c r="B29" s="40" t="s">
        <v>1784</v>
      </c>
      <c r="C29" s="44" t="n">
        <v>1101</v>
      </c>
      <c r="D29" s="70" t="n">
        <v>4856</v>
      </c>
      <c r="E29" s="66" t="n">
        <v>198</v>
      </c>
      <c r="F29" s="66" t="n">
        <v>385</v>
      </c>
      <c r="G29" s="66" t="n">
        <v>275</v>
      </c>
      <c r="H29" s="66" t="n">
        <v>243</v>
      </c>
      <c r="I29" s="66" t="n">
        <v>2185</v>
      </c>
      <c r="J29" s="66" t="n">
        <v>1942</v>
      </c>
      <c r="K29" s="15" t="s">
        <v>1757</v>
      </c>
      <c r="L29" s="41" t="s">
        <v>1864</v>
      </c>
    </row>
    <row r="30" customFormat="false" ht="15" hidden="false" customHeight="false" outlineLevel="0" collapsed="false">
      <c r="A30" s="40" t="n">
        <v>27</v>
      </c>
      <c r="B30" s="40" t="s">
        <v>1785</v>
      </c>
      <c r="C30" s="44" t="n">
        <v>1323</v>
      </c>
      <c r="D30" s="70" t="n">
        <v>4827</v>
      </c>
      <c r="E30" s="174" t="n">
        <v>238</v>
      </c>
      <c r="F30" s="174" t="n">
        <v>463</v>
      </c>
      <c r="G30" s="174" t="n">
        <v>330</v>
      </c>
      <c r="H30" s="174" t="n">
        <v>292</v>
      </c>
      <c r="I30" s="174" t="n">
        <v>2172</v>
      </c>
      <c r="J30" s="174" t="n">
        <v>1930</v>
      </c>
      <c r="K30" s="15" t="s">
        <v>1757</v>
      </c>
      <c r="L30" s="41" t="s">
        <v>1864</v>
      </c>
    </row>
    <row r="31" customFormat="false" ht="15" hidden="false" customHeight="false" outlineLevel="0" collapsed="false">
      <c r="A31" s="40" t="n">
        <v>28</v>
      </c>
      <c r="B31" s="40" t="s">
        <v>1786</v>
      </c>
      <c r="C31" s="44" t="n">
        <v>1577</v>
      </c>
      <c r="D31" s="70" t="n">
        <v>4794</v>
      </c>
      <c r="E31" s="66" t="n">
        <v>283</v>
      </c>
      <c r="F31" s="66" t="n">
        <v>551</v>
      </c>
      <c r="G31" s="66" t="n">
        <v>394</v>
      </c>
      <c r="H31" s="66" t="n">
        <v>349</v>
      </c>
      <c r="I31" s="66" t="n">
        <v>2157</v>
      </c>
      <c r="J31" s="66" t="n">
        <v>1917</v>
      </c>
      <c r="K31" s="15" t="s">
        <v>1757</v>
      </c>
      <c r="L31" s="41" t="s">
        <v>1864</v>
      </c>
    </row>
    <row r="32" customFormat="false" ht="15" hidden="false" customHeight="false" outlineLevel="0" collapsed="false">
      <c r="A32" s="40" t="n">
        <v>29</v>
      </c>
      <c r="B32" s="40" t="s">
        <v>1787</v>
      </c>
      <c r="C32" s="44" t="n">
        <v>1865</v>
      </c>
      <c r="D32" s="70" t="n">
        <v>4756</v>
      </c>
      <c r="E32" s="174" t="n">
        <v>335</v>
      </c>
      <c r="F32" s="174" t="n">
        <v>652</v>
      </c>
      <c r="G32" s="174" t="n">
        <v>466</v>
      </c>
      <c r="H32" s="174" t="n">
        <v>412</v>
      </c>
      <c r="I32" s="174" t="n">
        <v>2140</v>
      </c>
      <c r="J32" s="174" t="n">
        <v>1902</v>
      </c>
      <c r="K32" s="15" t="s">
        <v>1757</v>
      </c>
      <c r="L32" s="41" t="s">
        <v>1864</v>
      </c>
    </row>
    <row r="33" customFormat="false" ht="15" hidden="false" customHeight="false" outlineLevel="0" collapsed="false">
      <c r="A33" s="40" t="n">
        <v>30</v>
      </c>
      <c r="B33" s="40" t="s">
        <v>1788</v>
      </c>
      <c r="C33" s="44" t="n">
        <v>2188</v>
      </c>
      <c r="D33" s="70" t="n">
        <v>4713</v>
      </c>
      <c r="E33" s="66" t="n">
        <v>393</v>
      </c>
      <c r="F33" s="66" t="n">
        <v>765</v>
      </c>
      <c r="G33" s="66" t="n">
        <v>547</v>
      </c>
      <c r="H33" s="66" t="n">
        <v>483</v>
      </c>
      <c r="I33" s="66" t="n">
        <v>2120</v>
      </c>
      <c r="J33" s="66" t="n">
        <v>1885</v>
      </c>
      <c r="K33" s="15" t="s">
        <v>1757</v>
      </c>
      <c r="L33" s="41" t="s">
        <v>1864</v>
      </c>
    </row>
    <row r="34" customFormat="false" ht="15" hidden="false" customHeight="false" outlineLevel="0" collapsed="false">
      <c r="A34" s="40" t="n">
        <v>31</v>
      </c>
      <c r="B34" s="40" t="s">
        <v>1789</v>
      </c>
      <c r="C34" s="44" t="n">
        <v>2546</v>
      </c>
      <c r="D34" s="70" t="n">
        <v>4664</v>
      </c>
      <c r="E34" s="174" t="n">
        <v>458</v>
      </c>
      <c r="F34" s="174" t="n">
        <v>891</v>
      </c>
      <c r="G34" s="174" t="n">
        <v>636</v>
      </c>
      <c r="H34" s="174" t="n">
        <v>561</v>
      </c>
      <c r="I34" s="174" t="n">
        <v>2098</v>
      </c>
      <c r="J34" s="174" t="n">
        <v>1865</v>
      </c>
      <c r="K34" s="15" t="s">
        <v>1757</v>
      </c>
      <c r="L34" s="41" t="s">
        <v>1864</v>
      </c>
    </row>
    <row r="35" customFormat="false" ht="15" hidden="false" customHeight="false" outlineLevel="0" collapsed="false">
      <c r="A35" s="40" t="n">
        <v>32</v>
      </c>
      <c r="B35" s="40" t="s">
        <v>1790</v>
      </c>
      <c r="C35" s="44" t="n">
        <v>2939</v>
      </c>
      <c r="D35" s="70" t="n">
        <v>4610</v>
      </c>
      <c r="E35" s="66" t="n">
        <v>529</v>
      </c>
      <c r="F35" s="66" t="n">
        <v>1028</v>
      </c>
      <c r="G35" s="66" t="n">
        <v>734</v>
      </c>
      <c r="H35" s="66" t="n">
        <v>648</v>
      </c>
      <c r="I35" s="66" t="n">
        <v>2074</v>
      </c>
      <c r="J35" s="66" t="n">
        <v>1844</v>
      </c>
      <c r="K35" s="15" t="s">
        <v>1757</v>
      </c>
      <c r="L35" s="41" t="s">
        <v>1864</v>
      </c>
    </row>
    <row r="36" customFormat="false" ht="15" hidden="false" customHeight="false" outlineLevel="0" collapsed="false">
      <c r="A36" s="40" t="n">
        <v>33</v>
      </c>
      <c r="B36" s="40" t="s">
        <v>1791</v>
      </c>
      <c r="C36" s="44" t="n">
        <v>3367</v>
      </c>
      <c r="D36" s="70" t="n">
        <v>4551</v>
      </c>
      <c r="E36" s="174" t="n">
        <v>606</v>
      </c>
      <c r="F36" s="174" t="n">
        <v>1178</v>
      </c>
      <c r="G36" s="174" t="n">
        <v>841</v>
      </c>
      <c r="H36" s="174" t="n">
        <v>742</v>
      </c>
      <c r="I36" s="174" t="n">
        <v>2047</v>
      </c>
      <c r="J36" s="174" t="n">
        <v>1820</v>
      </c>
      <c r="K36" s="15" t="s">
        <v>1757</v>
      </c>
      <c r="L36" s="41" t="s">
        <v>1864</v>
      </c>
    </row>
    <row r="37" customFormat="false" ht="15" hidden="false" customHeight="false" outlineLevel="0" collapsed="false">
      <c r="A37" s="40" t="n">
        <v>34</v>
      </c>
      <c r="B37" s="40" t="s">
        <v>1792</v>
      </c>
      <c r="C37" s="44" t="n">
        <v>3825</v>
      </c>
      <c r="D37" s="70" t="n">
        <v>4486</v>
      </c>
      <c r="E37" s="66" t="n">
        <v>688</v>
      </c>
      <c r="F37" s="66" t="n">
        <v>1338</v>
      </c>
      <c r="G37" s="66" t="n">
        <v>956</v>
      </c>
      <c r="H37" s="66" t="n">
        <v>843</v>
      </c>
      <c r="I37" s="66" t="n">
        <v>2018</v>
      </c>
      <c r="J37" s="66" t="n">
        <v>1794</v>
      </c>
      <c r="K37" s="15" t="s">
        <v>1757</v>
      </c>
      <c r="L37" s="41" t="s">
        <v>1864</v>
      </c>
    </row>
    <row r="38" customFormat="false" ht="15" hidden="false" customHeight="false" outlineLevel="0" collapsed="false">
      <c r="A38" s="40" t="n">
        <v>35</v>
      </c>
      <c r="B38" s="40" t="s">
        <v>1793</v>
      </c>
      <c r="C38" s="44" t="n">
        <v>4312</v>
      </c>
      <c r="D38" s="70" t="n">
        <v>4415</v>
      </c>
      <c r="E38" s="174" t="n">
        <v>776</v>
      </c>
      <c r="F38" s="174" t="n">
        <v>1509</v>
      </c>
      <c r="G38" s="174" t="n">
        <v>1078</v>
      </c>
      <c r="H38" s="174" t="n">
        <v>949</v>
      </c>
      <c r="I38" s="174" t="n">
        <v>1986</v>
      </c>
      <c r="J38" s="174" t="n">
        <v>1766</v>
      </c>
      <c r="K38" s="15" t="s">
        <v>1757</v>
      </c>
      <c r="L38" s="41" t="s">
        <v>1864</v>
      </c>
    </row>
    <row r="39" customFormat="false" ht="15" hidden="false" customHeight="false" outlineLevel="0" collapsed="false">
      <c r="A39" s="40" t="n">
        <v>36</v>
      </c>
      <c r="B39" s="40" t="s">
        <v>1794</v>
      </c>
      <c r="C39" s="44" t="n">
        <v>4822</v>
      </c>
      <c r="D39" s="70" t="n">
        <v>4340</v>
      </c>
      <c r="E39" s="66" t="n">
        <v>867</v>
      </c>
      <c r="F39" s="66" t="n">
        <v>1687</v>
      </c>
      <c r="G39" s="66" t="n">
        <v>1205</v>
      </c>
      <c r="H39" s="66" t="n">
        <v>1063</v>
      </c>
      <c r="I39" s="66" t="n">
        <v>1953</v>
      </c>
      <c r="J39" s="66" t="n">
        <v>1736</v>
      </c>
      <c r="K39" s="15" t="s">
        <v>1757</v>
      </c>
      <c r="L39" s="41" t="s">
        <v>1864</v>
      </c>
    </row>
    <row r="40" customFormat="false" ht="15" hidden="false" customHeight="false" outlineLevel="0" collapsed="false">
      <c r="A40" s="40" t="n">
        <v>37</v>
      </c>
      <c r="B40" s="40" t="s">
        <v>1795</v>
      </c>
      <c r="C40" s="44" t="n">
        <v>5349</v>
      </c>
      <c r="D40" s="70" t="n">
        <v>4259</v>
      </c>
      <c r="E40" s="174" t="n">
        <v>962</v>
      </c>
      <c r="F40" s="174" t="n">
        <v>1872</v>
      </c>
      <c r="G40" s="174" t="n">
        <v>1337</v>
      </c>
      <c r="H40" s="174" t="n">
        <v>1178</v>
      </c>
      <c r="I40" s="174" t="n">
        <v>1916</v>
      </c>
      <c r="J40" s="174" t="n">
        <v>1703</v>
      </c>
      <c r="K40" s="15" t="s">
        <v>1757</v>
      </c>
      <c r="L40" s="41" t="s">
        <v>1864</v>
      </c>
    </row>
    <row r="41" customFormat="false" ht="15" hidden="false" customHeight="false" outlineLevel="0" collapsed="false">
      <c r="A41" s="40" t="n">
        <v>38</v>
      </c>
      <c r="B41" s="40" t="s">
        <v>1796</v>
      </c>
      <c r="C41" s="44" t="n">
        <v>5887</v>
      </c>
      <c r="D41" s="70" t="n">
        <v>4175</v>
      </c>
      <c r="E41" s="66" t="n">
        <v>1059</v>
      </c>
      <c r="F41" s="66" t="n">
        <v>2060</v>
      </c>
      <c r="G41" s="66" t="n">
        <v>1471</v>
      </c>
      <c r="H41" s="66" t="n">
        <v>1297</v>
      </c>
      <c r="I41" s="66" t="n">
        <v>1878</v>
      </c>
      <c r="J41" s="66" t="n">
        <v>1670</v>
      </c>
      <c r="K41" s="15" t="s">
        <v>1757</v>
      </c>
      <c r="L41" s="41" t="s">
        <v>1864</v>
      </c>
    </row>
    <row r="42" customFormat="false" ht="15" hidden="false" customHeight="false" outlineLevel="0" collapsed="false">
      <c r="A42" s="40" t="n">
        <v>39</v>
      </c>
      <c r="B42" s="40" t="s">
        <v>802</v>
      </c>
      <c r="C42" s="44" t="n">
        <v>6428</v>
      </c>
      <c r="D42" s="70" t="n">
        <v>4088</v>
      </c>
      <c r="E42" s="174" t="n">
        <v>1157</v>
      </c>
      <c r="F42" s="174" t="n">
        <v>2249</v>
      </c>
      <c r="G42" s="174" t="n">
        <v>1607</v>
      </c>
      <c r="H42" s="174" t="n">
        <v>1415</v>
      </c>
      <c r="I42" s="174" t="n">
        <v>1839</v>
      </c>
      <c r="J42" s="174" t="n">
        <v>1635</v>
      </c>
      <c r="K42" s="15" t="s">
        <v>1757</v>
      </c>
      <c r="L42" s="41" t="s">
        <v>1864</v>
      </c>
    </row>
    <row r="43" customFormat="false" ht="15" hidden="false" customHeight="false" outlineLevel="0" collapsed="false">
      <c r="A43" s="40" t="n">
        <v>40</v>
      </c>
      <c r="B43" s="40" t="s">
        <v>1797</v>
      </c>
      <c r="C43" s="44" t="n">
        <v>6963</v>
      </c>
      <c r="D43" s="70" t="n">
        <v>3999</v>
      </c>
      <c r="E43" s="66" t="n">
        <v>1253</v>
      </c>
      <c r="F43" s="66" t="n">
        <v>2437</v>
      </c>
      <c r="G43" s="66" t="n">
        <v>1740</v>
      </c>
      <c r="H43" s="66" t="n">
        <v>1533</v>
      </c>
      <c r="I43" s="66" t="n">
        <v>1799</v>
      </c>
      <c r="J43" s="66" t="n">
        <v>1599</v>
      </c>
      <c r="K43" s="15" t="s">
        <v>1757</v>
      </c>
      <c r="L43" s="41" t="s">
        <v>1864</v>
      </c>
    </row>
    <row r="44" customFormat="false" ht="15" hidden="false" customHeight="false" outlineLevel="0" collapsed="false">
      <c r="A44" s="40" t="n">
        <v>41</v>
      </c>
      <c r="B44" s="40" t="s">
        <v>1798</v>
      </c>
      <c r="C44" s="44" t="n">
        <v>7482</v>
      </c>
      <c r="D44" s="70" t="n">
        <v>3908</v>
      </c>
      <c r="E44" s="174" t="n">
        <v>1346</v>
      </c>
      <c r="F44" s="174" t="n">
        <v>2618</v>
      </c>
      <c r="G44" s="174" t="n">
        <v>1870</v>
      </c>
      <c r="H44" s="174" t="n">
        <v>1648</v>
      </c>
      <c r="I44" s="174" t="n">
        <v>1758</v>
      </c>
      <c r="J44" s="174" t="n">
        <v>1563</v>
      </c>
      <c r="K44" s="15" t="s">
        <v>1757</v>
      </c>
      <c r="L44" s="41" t="s">
        <v>1864</v>
      </c>
    </row>
    <row r="45" customFormat="false" ht="15" hidden="false" customHeight="false" outlineLevel="0" collapsed="false">
      <c r="A45" s="40" t="n">
        <v>42</v>
      </c>
      <c r="B45" s="40" t="s">
        <v>1799</v>
      </c>
      <c r="C45" s="44" t="n">
        <v>7976</v>
      </c>
      <c r="D45" s="70" t="n">
        <v>3817</v>
      </c>
      <c r="E45" s="66" t="n">
        <v>1435</v>
      </c>
      <c r="F45" s="66" t="n">
        <v>2791</v>
      </c>
      <c r="G45" s="66" t="n">
        <v>1994</v>
      </c>
      <c r="H45" s="66" t="n">
        <v>1756</v>
      </c>
      <c r="I45" s="66" t="n">
        <v>1717</v>
      </c>
      <c r="J45" s="66" t="n">
        <v>1526</v>
      </c>
      <c r="K45" s="15" t="s">
        <v>1757</v>
      </c>
      <c r="L45" s="41" t="s">
        <v>1864</v>
      </c>
    </row>
    <row r="46" customFormat="false" ht="15" hidden="false" customHeight="false" outlineLevel="0" collapsed="false">
      <c r="A46" s="40" t="n">
        <v>43</v>
      </c>
      <c r="B46" s="40" t="s">
        <v>1800</v>
      </c>
      <c r="C46" s="44" t="n">
        <v>8435</v>
      </c>
      <c r="D46" s="70" t="n">
        <v>3728</v>
      </c>
      <c r="E46" s="174" t="n">
        <v>1518</v>
      </c>
      <c r="F46" s="174" t="n">
        <v>2952</v>
      </c>
      <c r="G46" s="174" t="n">
        <v>2108</v>
      </c>
      <c r="H46" s="174" t="n">
        <v>1857</v>
      </c>
      <c r="I46" s="174" t="n">
        <v>1677</v>
      </c>
      <c r="J46" s="174" t="n">
        <v>1491</v>
      </c>
      <c r="K46" s="15" t="s">
        <v>1757</v>
      </c>
      <c r="L46" s="41" t="s">
        <v>1864</v>
      </c>
    </row>
    <row r="47" customFormat="false" ht="15" hidden="false" customHeight="false" outlineLevel="0" collapsed="false">
      <c r="A47" s="40" t="n">
        <v>44</v>
      </c>
      <c r="B47" s="40" t="s">
        <v>1801</v>
      </c>
      <c r="C47" s="44" t="n">
        <v>8850</v>
      </c>
      <c r="D47" s="70" t="n">
        <v>3641</v>
      </c>
      <c r="E47" s="66" t="n">
        <v>1593</v>
      </c>
      <c r="F47" s="66" t="n">
        <v>3097</v>
      </c>
      <c r="G47" s="66" t="n">
        <v>2212</v>
      </c>
      <c r="H47" s="66" t="n">
        <v>1948</v>
      </c>
      <c r="I47" s="66" t="n">
        <v>1638</v>
      </c>
      <c r="J47" s="66" t="n">
        <v>1456</v>
      </c>
      <c r="K47" s="15" t="s">
        <v>1757</v>
      </c>
      <c r="L47" s="41" t="s">
        <v>1864</v>
      </c>
    </row>
    <row r="48" customFormat="false" ht="15" hidden="false" customHeight="false" outlineLevel="0" collapsed="false">
      <c r="A48" s="40" t="n">
        <v>45</v>
      </c>
      <c r="B48" s="40" t="s">
        <v>1802</v>
      </c>
      <c r="C48" s="44" t="n">
        <v>9211</v>
      </c>
      <c r="D48" s="70" t="n">
        <v>3558</v>
      </c>
      <c r="E48" s="174" t="n">
        <v>1657</v>
      </c>
      <c r="F48" s="174" t="n">
        <v>3223</v>
      </c>
      <c r="G48" s="174" t="n">
        <v>2302</v>
      </c>
      <c r="H48" s="174" t="n">
        <v>2029</v>
      </c>
      <c r="I48" s="174" t="n">
        <v>1601</v>
      </c>
      <c r="J48" s="174" t="n">
        <v>1423</v>
      </c>
      <c r="K48" s="15" t="s">
        <v>1757</v>
      </c>
      <c r="L48" s="41" t="s">
        <v>1864</v>
      </c>
    </row>
    <row r="49" customFormat="false" ht="15" hidden="false" customHeight="false" outlineLevel="0" collapsed="false">
      <c r="A49" s="40" t="n">
        <v>46</v>
      </c>
      <c r="B49" s="40" t="s">
        <v>1803</v>
      </c>
      <c r="C49" s="44" t="n">
        <v>9511</v>
      </c>
      <c r="D49" s="70" t="n">
        <v>3481</v>
      </c>
      <c r="E49" s="66" t="n">
        <v>1711</v>
      </c>
      <c r="F49" s="66" t="n">
        <v>3328</v>
      </c>
      <c r="G49" s="66" t="n">
        <v>2377</v>
      </c>
      <c r="H49" s="66" t="n">
        <v>2095</v>
      </c>
      <c r="I49" s="66" t="n">
        <v>1566</v>
      </c>
      <c r="J49" s="66" t="n">
        <v>1392</v>
      </c>
      <c r="K49" s="15" t="s">
        <v>1757</v>
      </c>
      <c r="L49" s="41" t="s">
        <v>1864</v>
      </c>
    </row>
    <row r="50" customFormat="false" ht="15" hidden="false" customHeight="false" outlineLevel="0" collapsed="false">
      <c r="A50" s="40" t="n">
        <v>47</v>
      </c>
      <c r="B50" s="40" t="s">
        <v>1804</v>
      </c>
      <c r="C50" s="44" t="n">
        <v>9743</v>
      </c>
      <c r="D50" s="70" t="n">
        <v>3411</v>
      </c>
      <c r="E50" s="174" t="n">
        <v>1753</v>
      </c>
      <c r="F50" s="174" t="n">
        <v>3410</v>
      </c>
      <c r="G50" s="174" t="n">
        <v>2435</v>
      </c>
      <c r="H50" s="174" t="n">
        <v>2145</v>
      </c>
      <c r="I50" s="174" t="n">
        <v>1534</v>
      </c>
      <c r="J50" s="174" t="n">
        <v>1364</v>
      </c>
      <c r="K50" s="15" t="s">
        <v>1757</v>
      </c>
      <c r="L50" s="41" t="s">
        <v>1864</v>
      </c>
    </row>
    <row r="51" customFormat="false" ht="15" hidden="false" customHeight="false" outlineLevel="0" collapsed="false">
      <c r="A51" s="40" t="n">
        <v>48</v>
      </c>
      <c r="B51" s="40" t="s">
        <v>1805</v>
      </c>
      <c r="C51" s="44" t="n">
        <v>9901</v>
      </c>
      <c r="D51" s="70" t="n">
        <v>3349</v>
      </c>
      <c r="E51" s="66" t="n">
        <v>1782</v>
      </c>
      <c r="F51" s="66" t="n">
        <v>3465</v>
      </c>
      <c r="G51" s="66" t="n">
        <v>2475</v>
      </c>
      <c r="H51" s="66" t="n">
        <v>2179</v>
      </c>
      <c r="I51" s="66" t="n">
        <v>1507</v>
      </c>
      <c r="J51" s="66" t="n">
        <v>1339</v>
      </c>
      <c r="K51" s="15" t="s">
        <v>1757</v>
      </c>
      <c r="L51" s="41" t="s">
        <v>1864</v>
      </c>
    </row>
    <row r="52" customFormat="false" ht="15" hidden="false" customHeight="false" outlineLevel="0" collapsed="false">
      <c r="A52" s="40" t="n">
        <v>49</v>
      </c>
      <c r="B52" s="40" t="s">
        <v>1806</v>
      </c>
      <c r="C52" s="44" t="n">
        <v>9982</v>
      </c>
      <c r="D52" s="70" t="n">
        <v>3297</v>
      </c>
      <c r="E52" s="44" t="n">
        <v>1796</v>
      </c>
      <c r="F52" s="44" t="n">
        <v>3493</v>
      </c>
      <c r="G52" s="44" t="n">
        <v>2495</v>
      </c>
      <c r="H52" s="44" t="n">
        <v>2198</v>
      </c>
      <c r="I52" s="44" t="n">
        <v>1483</v>
      </c>
      <c r="J52" s="44" t="n">
        <v>1318</v>
      </c>
      <c r="K52" s="46" t="s">
        <v>1771</v>
      </c>
      <c r="L52" s="41" t="s">
        <v>108</v>
      </c>
    </row>
    <row r="53" customFormat="false" ht="15" hidden="false" customHeight="false" outlineLevel="0" collapsed="false">
      <c r="A53" s="40" t="n">
        <v>50</v>
      </c>
      <c r="B53" s="40" t="s">
        <v>1807</v>
      </c>
      <c r="C53" s="44" t="n">
        <v>9983</v>
      </c>
      <c r="D53" s="70" t="n">
        <v>3255</v>
      </c>
      <c r="E53" s="44" t="n">
        <v>1796</v>
      </c>
      <c r="F53" s="44" t="n">
        <v>3494</v>
      </c>
      <c r="G53" s="44" t="n">
        <v>2495</v>
      </c>
      <c r="H53" s="44" t="n">
        <v>2198</v>
      </c>
      <c r="I53" s="44" t="n">
        <v>1464</v>
      </c>
      <c r="J53" s="44" t="n">
        <v>1302</v>
      </c>
      <c r="K53" s="46" t="s">
        <v>1771</v>
      </c>
      <c r="L53" s="41" t="s">
        <v>108</v>
      </c>
    </row>
    <row r="54" customFormat="false" ht="15" hidden="false" customHeight="false" outlineLevel="0" collapsed="false">
      <c r="A54" s="40" t="n">
        <v>51</v>
      </c>
      <c r="B54" s="40" t="s">
        <v>1808</v>
      </c>
      <c r="C54" s="44" t="n">
        <v>9906</v>
      </c>
      <c r="D54" s="70" t="n">
        <v>3225</v>
      </c>
      <c r="E54" s="174" t="n">
        <v>1783</v>
      </c>
      <c r="F54" s="174" t="n">
        <v>3467</v>
      </c>
      <c r="G54" s="174" t="n">
        <v>2476</v>
      </c>
      <c r="H54" s="174" t="n">
        <v>2180</v>
      </c>
      <c r="I54" s="174" t="n">
        <v>1451</v>
      </c>
      <c r="J54" s="174" t="n">
        <v>1290</v>
      </c>
      <c r="K54" s="15" t="s">
        <v>1757</v>
      </c>
      <c r="L54" s="41" t="s">
        <v>1864</v>
      </c>
    </row>
    <row r="55" customFormat="false" ht="15" hidden="false" customHeight="false" outlineLevel="0" collapsed="false">
      <c r="A55" s="40" t="n">
        <v>52</v>
      </c>
      <c r="B55" s="40" t="s">
        <v>1809</v>
      </c>
      <c r="C55" s="44" t="n">
        <v>9750</v>
      </c>
      <c r="D55" s="70" t="n">
        <v>3206</v>
      </c>
      <c r="E55" s="66" t="n">
        <v>1755</v>
      </c>
      <c r="F55" s="66" t="n">
        <v>3412</v>
      </c>
      <c r="G55" s="66" t="n">
        <v>2437</v>
      </c>
      <c r="H55" s="66" t="n">
        <v>2146</v>
      </c>
      <c r="I55" s="66" t="n">
        <v>1442</v>
      </c>
      <c r="J55" s="66" t="n">
        <v>1282</v>
      </c>
      <c r="K55" s="15" t="s">
        <v>1757</v>
      </c>
      <c r="L55" s="41" t="s">
        <v>1864</v>
      </c>
    </row>
    <row r="56" customFormat="false" ht="15" hidden="false" customHeight="false" outlineLevel="0" collapsed="false">
      <c r="A56" s="40" t="n">
        <v>53</v>
      </c>
      <c r="B56" s="40" t="s">
        <v>1810</v>
      </c>
      <c r="C56" s="44" t="n">
        <v>9522</v>
      </c>
      <c r="D56" s="70" t="n">
        <v>3201</v>
      </c>
      <c r="E56" s="174" t="n">
        <v>1713</v>
      </c>
      <c r="F56" s="174" t="n">
        <v>3332</v>
      </c>
      <c r="G56" s="174" t="n">
        <v>2380</v>
      </c>
      <c r="H56" s="174" t="n">
        <v>2097</v>
      </c>
      <c r="I56" s="174" t="n">
        <v>1440</v>
      </c>
      <c r="J56" s="174" t="n">
        <v>1280</v>
      </c>
      <c r="K56" s="15" t="s">
        <v>1757</v>
      </c>
      <c r="L56" s="41" t="s">
        <v>1864</v>
      </c>
    </row>
    <row r="57" customFormat="false" ht="15" hidden="false" customHeight="false" outlineLevel="0" collapsed="false">
      <c r="A57" s="40" t="n">
        <v>54</v>
      </c>
      <c r="B57" s="40" t="s">
        <v>1811</v>
      </c>
      <c r="C57" s="44" t="n">
        <v>9224</v>
      </c>
      <c r="D57" s="70" t="n">
        <v>3207</v>
      </c>
      <c r="E57" s="66" t="n">
        <v>1660</v>
      </c>
      <c r="F57" s="66" t="n">
        <v>3228</v>
      </c>
      <c r="G57" s="66" t="n">
        <v>2306</v>
      </c>
      <c r="H57" s="66" t="n">
        <v>2030</v>
      </c>
      <c r="I57" s="66" t="n">
        <v>1443</v>
      </c>
      <c r="J57" s="66" t="n">
        <v>1282</v>
      </c>
      <c r="K57" s="15" t="s">
        <v>1757</v>
      </c>
      <c r="L57" s="41" t="s">
        <v>1864</v>
      </c>
    </row>
    <row r="58" customFormat="false" ht="15" hidden="false" customHeight="false" outlineLevel="0" collapsed="false">
      <c r="A58" s="40" t="n">
        <v>55</v>
      </c>
      <c r="B58" s="40" t="s">
        <v>1812</v>
      </c>
      <c r="C58" s="44" t="n">
        <v>8865</v>
      </c>
      <c r="D58" s="70" t="n">
        <v>3227</v>
      </c>
      <c r="E58" s="174" t="n">
        <v>1595</v>
      </c>
      <c r="F58" s="174" t="n">
        <v>3102</v>
      </c>
      <c r="G58" s="174" t="n">
        <v>2216</v>
      </c>
      <c r="H58" s="174" t="n">
        <v>1952</v>
      </c>
      <c r="I58" s="174" t="n">
        <v>1452</v>
      </c>
      <c r="J58" s="174" t="n">
        <v>1290</v>
      </c>
      <c r="K58" s="15" t="s">
        <v>1757</v>
      </c>
      <c r="L58" s="41" t="s">
        <v>1864</v>
      </c>
    </row>
    <row r="59" customFormat="false" ht="15" hidden="false" customHeight="false" outlineLevel="0" collapsed="false">
      <c r="A59" s="40" t="n">
        <v>56</v>
      </c>
      <c r="B59" s="40" t="s">
        <v>1813</v>
      </c>
      <c r="C59" s="44" t="n">
        <v>8452</v>
      </c>
      <c r="D59" s="70" t="n">
        <v>3259</v>
      </c>
      <c r="E59" s="66" t="n">
        <v>1521</v>
      </c>
      <c r="F59" s="66" t="n">
        <v>2958</v>
      </c>
      <c r="G59" s="66" t="n">
        <v>2113</v>
      </c>
      <c r="H59" s="66" t="n">
        <v>1860</v>
      </c>
      <c r="I59" s="66" t="n">
        <v>1466</v>
      </c>
      <c r="J59" s="66" t="n">
        <v>1303</v>
      </c>
      <c r="K59" s="15" t="s">
        <v>1757</v>
      </c>
      <c r="L59" s="41" t="s">
        <v>1864</v>
      </c>
    </row>
    <row r="60" customFormat="false" ht="15" hidden="false" customHeight="false" outlineLevel="0" collapsed="false">
      <c r="A60" s="40" t="n">
        <v>57</v>
      </c>
      <c r="B60" s="40" t="s">
        <v>1814</v>
      </c>
      <c r="C60" s="44" t="n">
        <v>7995</v>
      </c>
      <c r="D60" s="70" t="n">
        <v>3303</v>
      </c>
      <c r="E60" s="174" t="n">
        <v>1439</v>
      </c>
      <c r="F60" s="174" t="n">
        <v>2798</v>
      </c>
      <c r="G60" s="174" t="n">
        <v>1998</v>
      </c>
      <c r="H60" s="174" t="n">
        <v>1760</v>
      </c>
      <c r="I60" s="174" t="n">
        <v>1486</v>
      </c>
      <c r="J60" s="174" t="n">
        <v>1321</v>
      </c>
      <c r="K60" s="15" t="s">
        <v>1757</v>
      </c>
      <c r="L60" s="41" t="s">
        <v>1864</v>
      </c>
    </row>
    <row r="61" customFormat="false" ht="15" hidden="false" customHeight="false" outlineLevel="0" collapsed="false">
      <c r="A61" s="40" t="n">
        <v>58</v>
      </c>
      <c r="B61" s="40" t="s">
        <v>1815</v>
      </c>
      <c r="C61" s="44" t="n">
        <v>7502</v>
      </c>
      <c r="D61" s="70" t="n">
        <v>3358</v>
      </c>
      <c r="E61" s="66" t="n">
        <v>1350</v>
      </c>
      <c r="F61" s="66" t="n">
        <v>2625</v>
      </c>
      <c r="G61" s="66" t="n">
        <v>1875</v>
      </c>
      <c r="H61" s="66" t="n">
        <v>1652</v>
      </c>
      <c r="I61" s="66" t="n">
        <v>1511</v>
      </c>
      <c r="J61" s="66" t="n">
        <v>1343</v>
      </c>
      <c r="K61" s="15" t="s">
        <v>1757</v>
      </c>
      <c r="L61" s="41" t="s">
        <v>1864</v>
      </c>
    </row>
    <row r="62" customFormat="false" ht="15" hidden="false" customHeight="false" outlineLevel="0" collapsed="false">
      <c r="A62" s="40" t="n">
        <v>59</v>
      </c>
      <c r="B62" s="40" t="s">
        <v>1816</v>
      </c>
      <c r="C62" s="44" t="n">
        <v>6984</v>
      </c>
      <c r="D62" s="70" t="n">
        <v>3424</v>
      </c>
      <c r="E62" s="174" t="n">
        <v>1257</v>
      </c>
      <c r="F62" s="174" t="n">
        <v>2444</v>
      </c>
      <c r="G62" s="174" t="n">
        <v>1746</v>
      </c>
      <c r="H62" s="174" t="n">
        <v>1537</v>
      </c>
      <c r="I62" s="174" t="n">
        <v>1540</v>
      </c>
      <c r="J62" s="174" t="n">
        <v>1369</v>
      </c>
      <c r="K62" s="15" t="s">
        <v>1757</v>
      </c>
      <c r="L62" s="41" t="s">
        <v>1864</v>
      </c>
    </row>
    <row r="63" customFormat="false" ht="15" hidden="false" customHeight="false" outlineLevel="0" collapsed="false">
      <c r="A63" s="40" t="n">
        <v>60</v>
      </c>
      <c r="B63" s="40" t="s">
        <v>1817</v>
      </c>
      <c r="C63" s="44" t="n">
        <v>6450</v>
      </c>
      <c r="D63" s="70" t="n">
        <v>3500</v>
      </c>
      <c r="E63" s="66" t="n">
        <v>1161</v>
      </c>
      <c r="F63" s="66" t="n">
        <v>2257</v>
      </c>
      <c r="G63" s="66" t="n">
        <v>1612</v>
      </c>
      <c r="H63" s="66" t="n">
        <v>1420</v>
      </c>
      <c r="I63" s="66" t="n">
        <v>1575</v>
      </c>
      <c r="J63" s="66" t="n">
        <v>1400</v>
      </c>
      <c r="K63" s="15" t="s">
        <v>1757</v>
      </c>
      <c r="L63" s="41" t="s">
        <v>1864</v>
      </c>
    </row>
    <row r="64" customFormat="false" ht="15" hidden="false" customHeight="false" outlineLevel="0" collapsed="false">
      <c r="A64" s="40" t="n">
        <v>61</v>
      </c>
      <c r="B64" s="40" t="s">
        <v>1818</v>
      </c>
      <c r="C64" s="44" t="n">
        <v>5909</v>
      </c>
      <c r="D64" s="70" t="n">
        <v>3586</v>
      </c>
      <c r="E64" s="174" t="n">
        <v>1063</v>
      </c>
      <c r="F64" s="174" t="n">
        <v>2068</v>
      </c>
      <c r="G64" s="174" t="n">
        <v>1477</v>
      </c>
      <c r="H64" s="174" t="n">
        <v>1301</v>
      </c>
      <c r="I64" s="174" t="n">
        <v>1613</v>
      </c>
      <c r="J64" s="174" t="n">
        <v>1434</v>
      </c>
      <c r="K64" s="15" t="s">
        <v>1757</v>
      </c>
      <c r="L64" s="41" t="s">
        <v>1864</v>
      </c>
    </row>
    <row r="65" customFormat="false" ht="15" hidden="false" customHeight="false" outlineLevel="0" collapsed="false">
      <c r="A65" s="40" t="n">
        <v>62</v>
      </c>
      <c r="B65" s="40" t="s">
        <v>1819</v>
      </c>
      <c r="C65" s="44" t="n">
        <v>5371</v>
      </c>
      <c r="D65" s="70" t="n">
        <v>3679</v>
      </c>
      <c r="E65" s="66" t="n">
        <v>966</v>
      </c>
      <c r="F65" s="66" t="n">
        <v>1879</v>
      </c>
      <c r="G65" s="66" t="n">
        <v>1342</v>
      </c>
      <c r="H65" s="66" t="n">
        <v>1184</v>
      </c>
      <c r="I65" s="66" t="n">
        <v>1655</v>
      </c>
      <c r="J65" s="66" t="n">
        <v>1471</v>
      </c>
      <c r="K65" s="15" t="s">
        <v>1757</v>
      </c>
      <c r="L65" s="41" t="s">
        <v>1864</v>
      </c>
    </row>
    <row r="66" customFormat="false" ht="15" hidden="false" customHeight="false" outlineLevel="0" collapsed="false">
      <c r="A66" s="40" t="n">
        <v>63</v>
      </c>
      <c r="B66" s="40" t="s">
        <v>866</v>
      </c>
      <c r="C66" s="44" t="n">
        <v>4843</v>
      </c>
      <c r="D66" s="70" t="n">
        <v>3780</v>
      </c>
      <c r="E66" s="174" t="n">
        <v>871</v>
      </c>
      <c r="F66" s="174" t="n">
        <v>1695</v>
      </c>
      <c r="G66" s="174" t="n">
        <v>1210</v>
      </c>
      <c r="H66" s="174" t="n">
        <v>1067</v>
      </c>
      <c r="I66" s="174" t="n">
        <v>1701</v>
      </c>
      <c r="J66" s="174" t="n">
        <v>1512</v>
      </c>
      <c r="K66" s="15" t="s">
        <v>1757</v>
      </c>
      <c r="L66" s="41" t="s">
        <v>1864</v>
      </c>
    </row>
    <row r="67" customFormat="false" ht="15" hidden="false" customHeight="false" outlineLevel="0" collapsed="false">
      <c r="A67" s="40" t="n">
        <v>64</v>
      </c>
      <c r="B67" s="40" t="s">
        <v>1820</v>
      </c>
      <c r="C67" s="44" t="n">
        <v>4332</v>
      </c>
      <c r="D67" s="70" t="n">
        <v>3888</v>
      </c>
      <c r="E67" s="66" t="n">
        <v>779</v>
      </c>
      <c r="F67" s="66" t="n">
        <v>1516</v>
      </c>
      <c r="G67" s="66" t="n">
        <v>1083</v>
      </c>
      <c r="H67" s="66" t="n">
        <v>954</v>
      </c>
      <c r="I67" s="66" t="n">
        <v>1749</v>
      </c>
      <c r="J67" s="66" t="n">
        <v>1555</v>
      </c>
      <c r="K67" s="15" t="s">
        <v>1757</v>
      </c>
      <c r="L67" s="41" t="s">
        <v>1864</v>
      </c>
    </row>
    <row r="68" customFormat="false" ht="15" hidden="false" customHeight="false" outlineLevel="0" collapsed="false">
      <c r="A68" s="40" t="n">
        <v>65</v>
      </c>
      <c r="B68" s="40" t="s">
        <v>1821</v>
      </c>
      <c r="C68" s="44" t="n">
        <v>3844</v>
      </c>
      <c r="D68" s="70" t="n">
        <v>4003</v>
      </c>
      <c r="E68" s="174" t="n">
        <v>691</v>
      </c>
      <c r="F68" s="174" t="n">
        <v>1345</v>
      </c>
      <c r="G68" s="174" t="n">
        <v>961</v>
      </c>
      <c r="H68" s="174" t="n">
        <v>847</v>
      </c>
      <c r="I68" s="174" t="n">
        <v>1801</v>
      </c>
      <c r="J68" s="174" t="n">
        <v>1601</v>
      </c>
      <c r="K68" s="15" t="s">
        <v>1757</v>
      </c>
      <c r="L68" s="41" t="s">
        <v>1864</v>
      </c>
    </row>
    <row r="69" customFormat="false" ht="15" hidden="false" customHeight="false" outlineLevel="0" collapsed="false">
      <c r="A69" s="40" t="n">
        <v>66</v>
      </c>
      <c r="B69" s="40" t="s">
        <v>1822</v>
      </c>
      <c r="C69" s="44" t="n">
        <v>3384</v>
      </c>
      <c r="D69" s="70" t="n">
        <v>4124</v>
      </c>
      <c r="E69" s="66" t="n">
        <v>609</v>
      </c>
      <c r="F69" s="66" t="n">
        <v>1184</v>
      </c>
      <c r="G69" s="66" t="n">
        <v>846</v>
      </c>
      <c r="H69" s="66" t="n">
        <v>745</v>
      </c>
      <c r="I69" s="66" t="n">
        <v>1855</v>
      </c>
      <c r="J69" s="66" t="n">
        <v>1649</v>
      </c>
      <c r="K69" s="15" t="s">
        <v>1757</v>
      </c>
      <c r="L69" s="41" t="s">
        <v>1864</v>
      </c>
    </row>
    <row r="70" customFormat="false" ht="15" hidden="false" customHeight="false" outlineLevel="0" collapsed="false">
      <c r="A70" s="40" t="n">
        <v>67</v>
      </c>
      <c r="B70" s="40" t="s">
        <v>1823</v>
      </c>
      <c r="C70" s="44" t="n">
        <v>2956</v>
      </c>
      <c r="D70" s="70" t="n">
        <v>4250</v>
      </c>
      <c r="E70" s="174" t="n">
        <v>532</v>
      </c>
      <c r="F70" s="174" t="n">
        <v>1034</v>
      </c>
      <c r="G70" s="174" t="n">
        <v>739</v>
      </c>
      <c r="H70" s="174" t="n">
        <v>651</v>
      </c>
      <c r="I70" s="174" t="n">
        <v>1912</v>
      </c>
      <c r="J70" s="174" t="n">
        <v>1700</v>
      </c>
      <c r="K70" s="15" t="s">
        <v>1757</v>
      </c>
      <c r="L70" s="41" t="s">
        <v>1864</v>
      </c>
    </row>
    <row r="71" customFormat="false" ht="15" hidden="false" customHeight="false" outlineLevel="0" collapsed="false">
      <c r="A71" s="40" t="n">
        <v>68</v>
      </c>
      <c r="B71" s="40" t="s">
        <v>1824</v>
      </c>
      <c r="C71" s="44" t="n">
        <v>2561</v>
      </c>
      <c r="D71" s="70" t="n">
        <v>4382</v>
      </c>
      <c r="E71" s="66" t="n">
        <v>460</v>
      </c>
      <c r="F71" s="66" t="n">
        <v>896</v>
      </c>
      <c r="G71" s="66" t="n">
        <v>640</v>
      </c>
      <c r="H71" s="66" t="n">
        <v>565</v>
      </c>
      <c r="I71" s="66" t="n">
        <v>1971</v>
      </c>
      <c r="J71" s="66" t="n">
        <v>1752</v>
      </c>
      <c r="K71" s="15" t="s">
        <v>1757</v>
      </c>
      <c r="L71" s="41" t="s">
        <v>1864</v>
      </c>
    </row>
    <row r="72" customFormat="false" ht="15" hidden="false" customHeight="false" outlineLevel="0" collapsed="false">
      <c r="A72" s="40" t="n">
        <v>69</v>
      </c>
      <c r="B72" s="40" t="s">
        <v>1825</v>
      </c>
      <c r="C72" s="44" t="n">
        <v>2201</v>
      </c>
      <c r="D72" s="70" t="n">
        <v>4519</v>
      </c>
      <c r="E72" s="174" t="n">
        <v>396</v>
      </c>
      <c r="F72" s="174" t="n">
        <v>770</v>
      </c>
      <c r="G72" s="174" t="n">
        <v>550</v>
      </c>
      <c r="H72" s="174" t="n">
        <v>485</v>
      </c>
      <c r="I72" s="174" t="n">
        <v>2033</v>
      </c>
      <c r="J72" s="174" t="n">
        <v>1807</v>
      </c>
      <c r="K72" s="15" t="s">
        <v>1757</v>
      </c>
      <c r="L72" s="41" t="s">
        <v>1864</v>
      </c>
    </row>
    <row r="73" customFormat="false" ht="15" hidden="false" customHeight="false" outlineLevel="0" collapsed="false">
      <c r="A73" s="40" t="n">
        <v>70</v>
      </c>
      <c r="B73" s="40" t="s">
        <v>1826</v>
      </c>
      <c r="C73" s="44" t="n">
        <v>1877</v>
      </c>
      <c r="D73" s="70" t="n">
        <v>4660</v>
      </c>
      <c r="E73" s="66" t="n">
        <v>337</v>
      </c>
      <c r="F73" s="66" t="n">
        <v>656</v>
      </c>
      <c r="G73" s="66" t="n">
        <v>469</v>
      </c>
      <c r="H73" s="66" t="n">
        <v>415</v>
      </c>
      <c r="I73" s="66" t="n">
        <v>2097</v>
      </c>
      <c r="J73" s="66" t="n">
        <v>1864</v>
      </c>
      <c r="K73" s="15" t="s">
        <v>1757</v>
      </c>
      <c r="L73" s="41" t="s">
        <v>1864</v>
      </c>
    </row>
    <row r="74" customFormat="false" ht="15" hidden="false" customHeight="false" outlineLevel="0" collapsed="false">
      <c r="A74" s="40" t="n">
        <v>71</v>
      </c>
      <c r="B74" s="40" t="s">
        <v>1827</v>
      </c>
      <c r="C74" s="44" t="n">
        <v>1588</v>
      </c>
      <c r="D74" s="70" t="n">
        <v>4805</v>
      </c>
      <c r="E74" s="174" t="n">
        <v>285</v>
      </c>
      <c r="F74" s="174" t="n">
        <v>555</v>
      </c>
      <c r="G74" s="174" t="n">
        <v>397</v>
      </c>
      <c r="H74" s="174" t="n">
        <v>351</v>
      </c>
      <c r="I74" s="174" t="n">
        <v>2162</v>
      </c>
      <c r="J74" s="174" t="n">
        <v>1922</v>
      </c>
      <c r="K74" s="15" t="s">
        <v>1757</v>
      </c>
      <c r="L74" s="41" t="s">
        <v>1864</v>
      </c>
    </row>
    <row r="75" customFormat="false" ht="15" hidden="false" customHeight="false" outlineLevel="0" collapsed="false">
      <c r="A75" s="40" t="n">
        <v>72</v>
      </c>
      <c r="B75" s="40" t="s">
        <v>1828</v>
      </c>
      <c r="C75" s="44" t="n">
        <v>1333</v>
      </c>
      <c r="D75" s="70" t="n">
        <v>4952</v>
      </c>
      <c r="E75" s="66" t="n">
        <v>239</v>
      </c>
      <c r="F75" s="66" t="n">
        <v>466</v>
      </c>
      <c r="G75" s="66" t="n">
        <v>333</v>
      </c>
      <c r="H75" s="66" t="n">
        <v>295</v>
      </c>
      <c r="I75" s="66" t="n">
        <v>2228</v>
      </c>
      <c r="J75" s="66" t="n">
        <v>1980</v>
      </c>
      <c r="K75" s="15" t="s">
        <v>1757</v>
      </c>
      <c r="L75" s="41" t="s">
        <v>1864</v>
      </c>
    </row>
    <row r="76" customFormat="false" ht="15" hidden="false" customHeight="false" outlineLevel="0" collapsed="false">
      <c r="A76" s="40" t="n">
        <v>73</v>
      </c>
      <c r="B76" s="40" t="s">
        <v>1829</v>
      </c>
      <c r="C76" s="44" t="n">
        <v>1110</v>
      </c>
      <c r="D76" s="70" t="n">
        <v>5100</v>
      </c>
      <c r="E76" s="174" t="n">
        <v>199</v>
      </c>
      <c r="F76" s="174" t="n">
        <v>388</v>
      </c>
      <c r="G76" s="174" t="n">
        <v>277</v>
      </c>
      <c r="H76" s="174" t="n">
        <v>246</v>
      </c>
      <c r="I76" s="174" t="n">
        <v>2295</v>
      </c>
      <c r="J76" s="174" t="n">
        <v>2040</v>
      </c>
      <c r="K76" s="15" t="s">
        <v>1757</v>
      </c>
      <c r="L76" s="41" t="s">
        <v>1864</v>
      </c>
    </row>
    <row r="77" customFormat="false" ht="15" hidden="false" customHeight="false" outlineLevel="0" collapsed="false">
      <c r="A77" s="40" t="n">
        <v>74</v>
      </c>
      <c r="B77" s="40" t="s">
        <v>1830</v>
      </c>
      <c r="C77" s="44" t="n">
        <v>916</v>
      </c>
      <c r="D77" s="70" t="n">
        <v>5248</v>
      </c>
      <c r="E77" s="66" t="n">
        <v>164</v>
      </c>
      <c r="F77" s="66" t="n">
        <v>320</v>
      </c>
      <c r="G77" s="66" t="n">
        <v>229</v>
      </c>
      <c r="H77" s="66" t="n">
        <v>203</v>
      </c>
      <c r="I77" s="66" t="n">
        <v>2361</v>
      </c>
      <c r="J77" s="66" t="n">
        <v>2099</v>
      </c>
      <c r="K77" s="15" t="s">
        <v>1757</v>
      </c>
      <c r="L77" s="41" t="s">
        <v>1864</v>
      </c>
    </row>
    <row r="78" customFormat="false" ht="15" hidden="false" customHeight="false" outlineLevel="0" collapsed="false">
      <c r="A78" s="40" t="n">
        <v>75</v>
      </c>
      <c r="B78" s="40" t="s">
        <v>1831</v>
      </c>
      <c r="C78" s="44" t="n">
        <v>751</v>
      </c>
      <c r="D78" s="70" t="n">
        <v>5392</v>
      </c>
      <c r="E78" s="174" t="n">
        <v>135</v>
      </c>
      <c r="F78" s="174" t="n">
        <v>262</v>
      </c>
      <c r="G78" s="174" t="n">
        <v>187</v>
      </c>
      <c r="H78" s="174" t="n">
        <v>167</v>
      </c>
      <c r="I78" s="174" t="n">
        <v>2426</v>
      </c>
      <c r="J78" s="174" t="n">
        <v>2156</v>
      </c>
      <c r="K78" s="15" t="s">
        <v>1757</v>
      </c>
      <c r="L78" s="41" t="s">
        <v>1864</v>
      </c>
    </row>
    <row r="79" customFormat="false" ht="15" hidden="false" customHeight="false" outlineLevel="0" collapsed="false">
      <c r="A79" s="40" t="n">
        <v>76</v>
      </c>
      <c r="B79" s="40" t="s">
        <v>1832</v>
      </c>
      <c r="C79" s="44" t="n">
        <v>0</v>
      </c>
      <c r="D79" s="70" t="n">
        <v>5531</v>
      </c>
      <c r="E79" s="66" t="n">
        <v>0</v>
      </c>
      <c r="F79" s="66" t="n">
        <v>0</v>
      </c>
      <c r="G79" s="66" t="n">
        <v>0</v>
      </c>
      <c r="H79" s="66" t="n">
        <v>0</v>
      </c>
      <c r="I79" s="66" t="n">
        <v>2488</v>
      </c>
      <c r="J79" s="66" t="n">
        <v>2212</v>
      </c>
      <c r="K79" s="15" t="s">
        <v>1757</v>
      </c>
      <c r="L79" s="41" t="s">
        <v>1864</v>
      </c>
    </row>
    <row r="80" customFormat="false" ht="15" hidden="false" customHeight="false" outlineLevel="0" collapsed="false">
      <c r="A80" s="40" t="n">
        <v>77</v>
      </c>
      <c r="B80" s="40" t="s">
        <v>1833</v>
      </c>
      <c r="C80" s="44" t="n">
        <v>0</v>
      </c>
      <c r="D80" s="70" t="n">
        <v>5662</v>
      </c>
      <c r="E80" s="174" t="n">
        <v>0</v>
      </c>
      <c r="F80" s="174" t="n">
        <v>0</v>
      </c>
      <c r="G80" s="174" t="n">
        <v>0</v>
      </c>
      <c r="H80" s="174" t="n">
        <v>0</v>
      </c>
      <c r="I80" s="174" t="n">
        <v>2547</v>
      </c>
      <c r="J80" s="174" t="n">
        <v>2264</v>
      </c>
      <c r="K80" s="15" t="s">
        <v>1757</v>
      </c>
      <c r="L80" s="41" t="s">
        <v>1864</v>
      </c>
    </row>
    <row r="81" customFormat="false" ht="15" hidden="false" customHeight="false" outlineLevel="0" collapsed="false">
      <c r="A81" s="40" t="n">
        <v>78</v>
      </c>
      <c r="B81" s="40" t="s">
        <v>1834</v>
      </c>
      <c r="C81" s="44" t="n">
        <v>0</v>
      </c>
      <c r="D81" s="70" t="n">
        <v>5781</v>
      </c>
      <c r="E81" s="66" t="n">
        <v>0</v>
      </c>
      <c r="F81" s="66" t="n">
        <v>0</v>
      </c>
      <c r="G81" s="66" t="n">
        <v>0</v>
      </c>
      <c r="H81" s="66" t="n">
        <v>0</v>
      </c>
      <c r="I81" s="66" t="n">
        <v>2601</v>
      </c>
      <c r="J81" s="66" t="n">
        <v>2312</v>
      </c>
      <c r="K81" s="15" t="s">
        <v>1757</v>
      </c>
      <c r="L81" s="41" t="s">
        <v>1864</v>
      </c>
    </row>
    <row r="82" customFormat="false" ht="15" hidden="false" customHeight="false" outlineLevel="0" collapsed="false">
      <c r="A82" s="40" t="n">
        <v>79</v>
      </c>
      <c r="B82" s="40" t="s">
        <v>1835</v>
      </c>
      <c r="C82" s="44" t="n">
        <v>0</v>
      </c>
      <c r="D82" s="70" t="n">
        <v>5886</v>
      </c>
      <c r="E82" s="174" t="n">
        <v>0</v>
      </c>
      <c r="F82" s="174" t="n">
        <v>0</v>
      </c>
      <c r="G82" s="174" t="n">
        <v>0</v>
      </c>
      <c r="H82" s="174" t="n">
        <v>0</v>
      </c>
      <c r="I82" s="174" t="n">
        <v>2648</v>
      </c>
      <c r="J82" s="174" t="n">
        <v>2354</v>
      </c>
      <c r="K82" s="15" t="s">
        <v>1757</v>
      </c>
      <c r="L82" s="41" t="s">
        <v>1864</v>
      </c>
    </row>
    <row r="83" customFormat="false" ht="15" hidden="false" customHeight="false" outlineLevel="0" collapsed="false">
      <c r="A83" s="40" t="n">
        <v>80</v>
      </c>
      <c r="B83" s="40" t="s">
        <v>1836</v>
      </c>
      <c r="C83" s="44" t="n">
        <v>0</v>
      </c>
      <c r="D83" s="70" t="n">
        <v>5975</v>
      </c>
      <c r="E83" s="66" t="n">
        <v>0</v>
      </c>
      <c r="F83" s="66" t="n">
        <v>0</v>
      </c>
      <c r="G83" s="66" t="n">
        <v>0</v>
      </c>
      <c r="H83" s="66" t="n">
        <v>0</v>
      </c>
      <c r="I83" s="66" t="n">
        <v>2688</v>
      </c>
      <c r="J83" s="66" t="n">
        <v>2390</v>
      </c>
      <c r="K83" s="15" t="s">
        <v>1757</v>
      </c>
      <c r="L83" s="41" t="s">
        <v>1864</v>
      </c>
    </row>
    <row r="84" customFormat="false" ht="15" hidden="false" customHeight="false" outlineLevel="0" collapsed="false">
      <c r="A84" s="40" t="n">
        <v>81</v>
      </c>
      <c r="B84" s="40" t="s">
        <v>1837</v>
      </c>
      <c r="C84" s="44" t="n">
        <v>0</v>
      </c>
      <c r="D84" s="70" t="n">
        <v>6044</v>
      </c>
      <c r="E84" s="44" t="n">
        <v>0</v>
      </c>
      <c r="F84" s="44" t="n">
        <v>0</v>
      </c>
      <c r="G84" s="44" t="n">
        <v>0</v>
      </c>
      <c r="H84" s="44" t="n">
        <v>0</v>
      </c>
      <c r="I84" s="44" t="n">
        <v>2719</v>
      </c>
      <c r="J84" s="44" t="n">
        <v>2417</v>
      </c>
      <c r="K84" s="46" t="s">
        <v>1771</v>
      </c>
      <c r="L84" s="41" t="s">
        <v>108</v>
      </c>
    </row>
    <row r="85" customFormat="false" ht="15" hidden="false" customHeight="false" outlineLevel="0" collapsed="false">
      <c r="A85" s="40" t="n">
        <v>82</v>
      </c>
      <c r="B85" s="40" t="s">
        <v>1838</v>
      </c>
      <c r="C85" s="44" t="n">
        <v>0</v>
      </c>
      <c r="D85" s="70" t="n">
        <v>6093</v>
      </c>
      <c r="E85" s="44" t="n">
        <v>0</v>
      </c>
      <c r="F85" s="44" t="n">
        <v>0</v>
      </c>
      <c r="G85" s="44" t="n">
        <v>0</v>
      </c>
      <c r="H85" s="44" t="n">
        <v>0</v>
      </c>
      <c r="I85" s="44" t="n">
        <v>2741</v>
      </c>
      <c r="J85" s="44" t="n">
        <v>2437</v>
      </c>
      <c r="K85" s="46" t="s">
        <v>1771</v>
      </c>
      <c r="L85" s="41" t="s">
        <v>108</v>
      </c>
    </row>
    <row r="86" customFormat="false" ht="15" hidden="false" customHeight="false" outlineLevel="0" collapsed="false">
      <c r="A86" s="40" t="n">
        <v>83</v>
      </c>
      <c r="B86" s="40" t="s">
        <v>1839</v>
      </c>
      <c r="C86" s="44" t="n">
        <v>0</v>
      </c>
      <c r="D86" s="70" t="n">
        <v>6120</v>
      </c>
      <c r="E86" s="174" t="n">
        <v>0</v>
      </c>
      <c r="F86" s="174" t="n">
        <v>0</v>
      </c>
      <c r="G86" s="174" t="n">
        <v>0</v>
      </c>
      <c r="H86" s="174" t="n">
        <v>0</v>
      </c>
      <c r="I86" s="174" t="n">
        <v>2754</v>
      </c>
      <c r="J86" s="174" t="n">
        <v>2448</v>
      </c>
      <c r="K86" s="15" t="s">
        <v>1757</v>
      </c>
      <c r="L86" s="41" t="s">
        <v>1864</v>
      </c>
    </row>
    <row r="87" customFormat="false" ht="15" hidden="false" customHeight="false" outlineLevel="0" collapsed="false">
      <c r="A87" s="40" t="n">
        <v>84</v>
      </c>
      <c r="B87" s="40" t="s">
        <v>1840</v>
      </c>
      <c r="C87" s="44" t="n">
        <v>0</v>
      </c>
      <c r="D87" s="70" t="n">
        <v>6126</v>
      </c>
      <c r="E87" s="66" t="n">
        <v>0</v>
      </c>
      <c r="F87" s="66" t="n">
        <v>0</v>
      </c>
      <c r="G87" s="66" t="n">
        <v>0</v>
      </c>
      <c r="H87" s="66" t="n">
        <v>0</v>
      </c>
      <c r="I87" s="66" t="n">
        <v>2756</v>
      </c>
      <c r="J87" s="66" t="n">
        <v>2450</v>
      </c>
      <c r="K87" s="15" t="s">
        <v>1757</v>
      </c>
      <c r="L87" s="41" t="s">
        <v>1864</v>
      </c>
    </row>
    <row r="88" customFormat="false" ht="15" hidden="false" customHeight="false" outlineLevel="0" collapsed="false">
      <c r="A88" s="40" t="n">
        <v>85</v>
      </c>
      <c r="B88" s="40" t="s">
        <v>1841</v>
      </c>
      <c r="C88" s="44" t="n">
        <v>0</v>
      </c>
      <c r="D88" s="70" t="n">
        <v>6111</v>
      </c>
      <c r="E88" s="174" t="n">
        <v>0</v>
      </c>
      <c r="F88" s="174" t="n">
        <v>0</v>
      </c>
      <c r="G88" s="174" t="n">
        <v>0</v>
      </c>
      <c r="H88" s="174" t="n">
        <v>0</v>
      </c>
      <c r="I88" s="174" t="n">
        <v>2749</v>
      </c>
      <c r="J88" s="174" t="n">
        <v>2444</v>
      </c>
      <c r="K88" s="15" t="s">
        <v>1757</v>
      </c>
      <c r="L88" s="41" t="s">
        <v>1864</v>
      </c>
    </row>
    <row r="89" customFormat="false" ht="15" hidden="false" customHeight="false" outlineLevel="0" collapsed="false">
      <c r="A89" s="40" t="n">
        <v>86</v>
      </c>
      <c r="B89" s="40" t="s">
        <v>1842</v>
      </c>
      <c r="C89" s="44" t="n">
        <v>0</v>
      </c>
      <c r="D89" s="70" t="n">
        <v>6077</v>
      </c>
      <c r="E89" s="66" t="n">
        <v>0</v>
      </c>
      <c r="F89" s="66" t="n">
        <v>0</v>
      </c>
      <c r="G89" s="66" t="n">
        <v>0</v>
      </c>
      <c r="H89" s="66" t="n">
        <v>0</v>
      </c>
      <c r="I89" s="66" t="n">
        <v>2734</v>
      </c>
      <c r="J89" s="66" t="n">
        <v>2430</v>
      </c>
      <c r="K89" s="15" t="s">
        <v>1757</v>
      </c>
      <c r="L89" s="41" t="s">
        <v>1864</v>
      </c>
    </row>
    <row r="90" customFormat="false" ht="15" hidden="false" customHeight="false" outlineLevel="0" collapsed="false">
      <c r="A90" s="40" t="n">
        <v>87</v>
      </c>
      <c r="B90" s="40" t="s">
        <v>1843</v>
      </c>
      <c r="C90" s="44" t="n">
        <v>0</v>
      </c>
      <c r="D90" s="70" t="n">
        <v>6026</v>
      </c>
      <c r="E90" s="174" t="n">
        <v>0</v>
      </c>
      <c r="F90" s="174" t="n">
        <v>0</v>
      </c>
      <c r="G90" s="174" t="n">
        <v>0</v>
      </c>
      <c r="H90" s="174" t="n">
        <v>0</v>
      </c>
      <c r="I90" s="174" t="n">
        <v>2711</v>
      </c>
      <c r="J90" s="174" t="n">
        <v>2410</v>
      </c>
      <c r="K90" s="15" t="s">
        <v>1757</v>
      </c>
      <c r="L90" s="41" t="s">
        <v>1864</v>
      </c>
    </row>
    <row r="91" customFormat="false" ht="15" hidden="false" customHeight="false" outlineLevel="0" collapsed="false">
      <c r="A91" s="40" t="n">
        <v>88</v>
      </c>
      <c r="B91" s="40" t="s">
        <v>1844</v>
      </c>
      <c r="C91" s="44" t="n">
        <v>0</v>
      </c>
      <c r="D91" s="70" t="n">
        <v>5961</v>
      </c>
      <c r="E91" s="66" t="n">
        <v>0</v>
      </c>
      <c r="F91" s="66" t="n">
        <v>0</v>
      </c>
      <c r="G91" s="66" t="n">
        <v>0</v>
      </c>
      <c r="H91" s="66" t="n">
        <v>0</v>
      </c>
      <c r="I91" s="66" t="n">
        <v>2682</v>
      </c>
      <c r="J91" s="66" t="n">
        <v>2384</v>
      </c>
      <c r="K91" s="15" t="s">
        <v>1757</v>
      </c>
      <c r="L91" s="41" t="s">
        <v>1864</v>
      </c>
    </row>
    <row r="92" customFormat="false" ht="15" hidden="false" customHeight="false" outlineLevel="0" collapsed="false">
      <c r="A92" s="40" t="n">
        <v>89</v>
      </c>
      <c r="B92" s="40" t="s">
        <v>1845</v>
      </c>
      <c r="C92" s="44" t="n">
        <v>0</v>
      </c>
      <c r="D92" s="70" t="n">
        <v>5885</v>
      </c>
      <c r="E92" s="174" t="n">
        <v>0</v>
      </c>
      <c r="F92" s="174" t="n">
        <v>0</v>
      </c>
      <c r="G92" s="174" t="n">
        <v>0</v>
      </c>
      <c r="H92" s="174" t="n">
        <v>0</v>
      </c>
      <c r="I92" s="174" t="n">
        <v>2648</v>
      </c>
      <c r="J92" s="174" t="n">
        <v>2354</v>
      </c>
      <c r="K92" s="15" t="s">
        <v>1757</v>
      </c>
      <c r="L92" s="41" t="s">
        <v>1864</v>
      </c>
    </row>
    <row r="93" customFormat="false" ht="15" hidden="false" customHeight="false" outlineLevel="0" collapsed="false">
      <c r="A93" s="40" t="n">
        <v>90</v>
      </c>
      <c r="B93" s="40" t="s">
        <v>1846</v>
      </c>
      <c r="C93" s="44" t="n">
        <v>0</v>
      </c>
      <c r="D93" s="70" t="n">
        <v>5802</v>
      </c>
      <c r="E93" s="66" t="n">
        <v>0</v>
      </c>
      <c r="F93" s="66" t="n">
        <v>0</v>
      </c>
      <c r="G93" s="66" t="n">
        <v>0</v>
      </c>
      <c r="H93" s="66" t="n">
        <v>0</v>
      </c>
      <c r="I93" s="66" t="n">
        <v>2610</v>
      </c>
      <c r="J93" s="66" t="n">
        <v>2320</v>
      </c>
      <c r="K93" s="15" t="s">
        <v>1757</v>
      </c>
      <c r="L93" s="41" t="s">
        <v>1864</v>
      </c>
    </row>
    <row r="94" customFormat="false" ht="15" hidden="false" customHeight="false" outlineLevel="0" collapsed="false">
      <c r="A94" s="40" t="n">
        <v>91</v>
      </c>
      <c r="B94" s="40" t="s">
        <v>1847</v>
      </c>
      <c r="C94" s="44" t="n">
        <v>0</v>
      </c>
      <c r="D94" s="70" t="n">
        <v>5715</v>
      </c>
      <c r="E94" s="174" t="n">
        <v>0</v>
      </c>
      <c r="F94" s="174" t="n">
        <v>0</v>
      </c>
      <c r="G94" s="174" t="n">
        <v>0</v>
      </c>
      <c r="H94" s="174" t="n">
        <v>0</v>
      </c>
      <c r="I94" s="174" t="n">
        <v>2571</v>
      </c>
      <c r="J94" s="174" t="n">
        <v>2286</v>
      </c>
      <c r="K94" s="15" t="s">
        <v>1757</v>
      </c>
      <c r="L94" s="41" t="s">
        <v>1864</v>
      </c>
    </row>
    <row r="95" customFormat="false" ht="15" hidden="false" customHeight="false" outlineLevel="0" collapsed="false">
      <c r="A95" s="40" t="n">
        <v>92</v>
      </c>
      <c r="B95" s="40" t="s">
        <v>1848</v>
      </c>
      <c r="C95" s="44" t="n">
        <v>0</v>
      </c>
      <c r="D95" s="70" t="n">
        <v>5628</v>
      </c>
      <c r="E95" s="66" t="n">
        <v>0</v>
      </c>
      <c r="F95" s="66" t="n">
        <v>0</v>
      </c>
      <c r="G95" s="66" t="n">
        <v>0</v>
      </c>
      <c r="H95" s="66" t="n">
        <v>0</v>
      </c>
      <c r="I95" s="66" t="n">
        <v>2532</v>
      </c>
      <c r="J95" s="66" t="n">
        <v>2251</v>
      </c>
      <c r="K95" s="15" t="s">
        <v>1757</v>
      </c>
      <c r="L95" s="41" t="s">
        <v>1864</v>
      </c>
    </row>
    <row r="96" customFormat="false" ht="15" hidden="false" customHeight="false" outlineLevel="0" collapsed="false">
      <c r="A96" s="40" t="n">
        <v>93</v>
      </c>
      <c r="B96" s="40" t="s">
        <v>1849</v>
      </c>
      <c r="C96" s="44" t="n">
        <v>0</v>
      </c>
      <c r="D96" s="70" t="n">
        <v>5542</v>
      </c>
      <c r="E96" s="174" t="n">
        <v>0</v>
      </c>
      <c r="F96" s="174" t="n">
        <v>0</v>
      </c>
      <c r="G96" s="174" t="n">
        <v>0</v>
      </c>
      <c r="H96" s="174" t="n">
        <v>0</v>
      </c>
      <c r="I96" s="174" t="n">
        <v>2493</v>
      </c>
      <c r="J96" s="174" t="n">
        <v>2216</v>
      </c>
      <c r="K96" s="15" t="s">
        <v>1757</v>
      </c>
      <c r="L96" s="41" t="s">
        <v>1864</v>
      </c>
    </row>
    <row r="97" customFormat="false" ht="15" hidden="false" customHeight="false" outlineLevel="0" collapsed="false">
      <c r="A97" s="40" t="n">
        <v>94</v>
      </c>
      <c r="B97" s="40" t="s">
        <v>1850</v>
      </c>
      <c r="C97" s="44" t="n">
        <v>0</v>
      </c>
      <c r="D97" s="70" t="n">
        <v>5461</v>
      </c>
      <c r="E97" s="66" t="n">
        <v>0</v>
      </c>
      <c r="F97" s="66" t="n">
        <v>0</v>
      </c>
      <c r="G97" s="66" t="n">
        <v>0</v>
      </c>
      <c r="H97" s="66" t="n">
        <v>0</v>
      </c>
      <c r="I97" s="66" t="n">
        <v>2457</v>
      </c>
      <c r="J97" s="66" t="n">
        <v>2184</v>
      </c>
      <c r="K97" s="15" t="s">
        <v>1757</v>
      </c>
      <c r="L97" s="41" t="s">
        <v>1864</v>
      </c>
    </row>
    <row r="98" customFormat="false" ht="15" hidden="false" customHeight="false" outlineLevel="0" collapsed="false">
      <c r="A98" s="40" t="n">
        <v>95</v>
      </c>
      <c r="B98" s="40" t="s">
        <v>1851</v>
      </c>
      <c r="C98" s="44" t="n">
        <v>0</v>
      </c>
      <c r="D98" s="70" t="n">
        <v>5385</v>
      </c>
      <c r="E98" s="174" t="n">
        <v>0</v>
      </c>
      <c r="F98" s="174" t="n">
        <v>0</v>
      </c>
      <c r="G98" s="174" t="n">
        <v>0</v>
      </c>
      <c r="H98" s="174" t="n">
        <v>0</v>
      </c>
      <c r="I98" s="174" t="n">
        <v>2423</v>
      </c>
      <c r="J98" s="174" t="n">
        <v>2154</v>
      </c>
      <c r="K98" s="15" t="s">
        <v>1757</v>
      </c>
      <c r="L98" s="41" t="s">
        <v>1864</v>
      </c>
    </row>
    <row r="99" customFormat="false" ht="15" hidden="false" customHeight="false" outlineLevel="0" collapsed="false">
      <c r="A99" s="40" t="n">
        <v>96</v>
      </c>
      <c r="B99" s="40" t="s">
        <v>1852</v>
      </c>
      <c r="C99" s="44" t="n">
        <v>0</v>
      </c>
      <c r="D99" s="70" t="n">
        <v>5317</v>
      </c>
      <c r="E99" s="66" t="n">
        <v>0</v>
      </c>
      <c r="F99" s="66" t="n">
        <v>0</v>
      </c>
      <c r="G99" s="66" t="n">
        <v>0</v>
      </c>
      <c r="H99" s="66" t="n">
        <v>0</v>
      </c>
      <c r="I99" s="66" t="n">
        <v>2392</v>
      </c>
      <c r="J99" s="66" t="n">
        <v>2126</v>
      </c>
      <c r="K99" s="15" t="s">
        <v>1757</v>
      </c>
      <c r="L99" s="41" t="s">
        <v>1864</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26"/>
    <col collapsed="false" customWidth="true" hidden="false" outlineLevel="0" max="4" min="4" style="0" width="8"/>
    <col collapsed="false" customWidth="true" hidden="false" outlineLevel="0" max="5" min="5" style="0" width="6"/>
    <col collapsed="false" customWidth="true" hidden="false" outlineLevel="0" max="6" min="6" style="0" width="9"/>
    <col collapsed="false" customWidth="true" hidden="false" outlineLevel="0" max="9" min="7" style="0" width="12"/>
    <col collapsed="false" customWidth="true" hidden="false" outlineLevel="0" max="10" min="10" style="0" width="10"/>
    <col collapsed="false" customWidth="true" hidden="false" outlineLevel="0" max="11" min="11" style="0" width="14"/>
    <col collapsed="false" customWidth="true" hidden="false" outlineLevel="0" max="12" min="12" style="0" width="42"/>
  </cols>
  <sheetData>
    <row r="1" customFormat="false" ht="27.75" hidden="false" customHeight="true" outlineLevel="0" collapsed="false">
      <c r="A1" s="8" t="s">
        <v>1865</v>
      </c>
      <c r="B1" s="8"/>
      <c r="C1" s="8"/>
      <c r="D1" s="8"/>
      <c r="E1" s="8"/>
      <c r="F1" s="8"/>
      <c r="G1" s="8"/>
      <c r="H1" s="8"/>
      <c r="I1" s="8"/>
      <c r="J1" s="8"/>
      <c r="K1" s="8"/>
      <c r="L1" s="8"/>
    </row>
    <row r="2" customFormat="false" ht="55.5" hidden="false" customHeight="true" outlineLevel="0" collapsed="false">
      <c r="A2" s="121" t="s">
        <v>1866</v>
      </c>
      <c r="B2" s="121"/>
      <c r="C2" s="121"/>
      <c r="D2" s="121"/>
      <c r="E2" s="121"/>
      <c r="F2" s="121"/>
      <c r="G2" s="121"/>
      <c r="H2" s="121"/>
      <c r="I2" s="121"/>
      <c r="J2" s="121"/>
      <c r="K2" s="121"/>
      <c r="L2" s="121"/>
    </row>
    <row r="3" customFormat="false" ht="21.75" hidden="false" customHeight="true" outlineLevel="0" collapsed="false">
      <c r="A3" s="78" t="s">
        <v>1867</v>
      </c>
      <c r="B3" s="78"/>
      <c r="C3" s="78"/>
      <c r="D3" s="78"/>
      <c r="E3" s="78"/>
      <c r="F3" s="78"/>
      <c r="G3" s="78"/>
      <c r="H3" s="78"/>
      <c r="I3" s="78"/>
      <c r="J3" s="78"/>
      <c r="K3" s="78"/>
      <c r="L3" s="78"/>
    </row>
    <row r="4" customFormat="false" ht="42" hidden="false" customHeight="true" outlineLevel="0" collapsed="false">
      <c r="A4" s="3" t="s">
        <v>132</v>
      </c>
      <c r="B4" s="3" t="s">
        <v>1149</v>
      </c>
      <c r="C4" s="3" t="s">
        <v>1150</v>
      </c>
      <c r="D4" s="3" t="s">
        <v>1868</v>
      </c>
      <c r="E4" s="3" t="s">
        <v>1869</v>
      </c>
      <c r="F4" s="3" t="s">
        <v>1870</v>
      </c>
      <c r="G4" s="3" t="s">
        <v>1871</v>
      </c>
      <c r="H4" s="3" t="s">
        <v>1872</v>
      </c>
      <c r="I4" s="3" t="s">
        <v>1873</v>
      </c>
      <c r="J4" s="3" t="s">
        <v>1874</v>
      </c>
      <c r="K4" s="3" t="s">
        <v>1756</v>
      </c>
      <c r="L4" s="3" t="s">
        <v>1367</v>
      </c>
    </row>
    <row r="5" customFormat="false" ht="15" hidden="false" customHeight="false" outlineLevel="0" collapsed="false">
      <c r="A5" s="40" t="n">
        <v>1</v>
      </c>
      <c r="B5" s="127" t="s">
        <v>1164</v>
      </c>
      <c r="C5" s="127" t="s">
        <v>1875</v>
      </c>
      <c r="D5" s="128" t="n">
        <v>765</v>
      </c>
      <c r="E5" s="122" t="n">
        <v>1</v>
      </c>
      <c r="F5" s="129" t="n">
        <v>220</v>
      </c>
      <c r="G5" s="175" t="n">
        <v>0.00094</v>
      </c>
      <c r="H5" s="175" t="n">
        <v>0.009962</v>
      </c>
      <c r="I5" s="175" t="n">
        <v>4.634982</v>
      </c>
      <c r="J5" s="75" t="n">
        <v>2000</v>
      </c>
      <c r="K5" s="19" t="s">
        <v>1876</v>
      </c>
      <c r="L5" s="41" t="s">
        <v>1877</v>
      </c>
    </row>
    <row r="6" customFormat="false" ht="15" hidden="false" customHeight="false" outlineLevel="0" collapsed="false">
      <c r="A6" s="40" t="n">
        <v>2</v>
      </c>
      <c r="B6" s="127" t="s">
        <v>1878</v>
      </c>
      <c r="C6" s="127" t="s">
        <v>1879</v>
      </c>
      <c r="D6" s="128" t="n">
        <v>765</v>
      </c>
      <c r="E6" s="122" t="n">
        <v>2</v>
      </c>
      <c r="F6" s="129" t="n">
        <v>120</v>
      </c>
      <c r="G6" s="175" t="n">
        <v>0.000256</v>
      </c>
      <c r="H6" s="175" t="n">
        <v>0.002717</v>
      </c>
      <c r="I6" s="175" t="n">
        <v>5.056344</v>
      </c>
      <c r="J6" s="75" t="n">
        <v>4000</v>
      </c>
      <c r="K6" s="19" t="s">
        <v>1876</v>
      </c>
      <c r="L6" s="41" t="s">
        <v>1880</v>
      </c>
    </row>
    <row r="7" customFormat="false" ht="15" hidden="false" customHeight="false" outlineLevel="0" collapsed="false">
      <c r="A7" s="40" t="n">
        <v>3</v>
      </c>
      <c r="B7" s="127" t="s">
        <v>1881</v>
      </c>
      <c r="C7" s="127" t="s">
        <v>1164</v>
      </c>
      <c r="D7" s="128" t="n">
        <v>765</v>
      </c>
      <c r="E7" s="122" t="n">
        <v>2</v>
      </c>
      <c r="F7" s="129" t="n">
        <v>250</v>
      </c>
      <c r="G7" s="175" t="n">
        <v>0.000534</v>
      </c>
      <c r="H7" s="175" t="n">
        <v>0.00566</v>
      </c>
      <c r="I7" s="175" t="n">
        <v>10.53405</v>
      </c>
      <c r="J7" s="75" t="n">
        <v>4000</v>
      </c>
      <c r="K7" s="19" t="s">
        <v>1876</v>
      </c>
      <c r="L7" s="41" t="s">
        <v>1882</v>
      </c>
    </row>
    <row r="8" customFormat="false" ht="15" hidden="false" customHeight="false" outlineLevel="0" collapsed="false">
      <c r="A8" s="40" t="n">
        <v>4</v>
      </c>
      <c r="B8" s="127" t="s">
        <v>1182</v>
      </c>
      <c r="C8" s="127" t="s">
        <v>1167</v>
      </c>
      <c r="D8" s="128" t="n">
        <v>765</v>
      </c>
      <c r="E8" s="122" t="n">
        <v>1</v>
      </c>
      <c r="F8" s="129" t="n">
        <v>120</v>
      </c>
      <c r="G8" s="175" t="n">
        <v>0.000513</v>
      </c>
      <c r="H8" s="175" t="n">
        <v>0.005434</v>
      </c>
      <c r="I8" s="175" t="n">
        <v>2.528172</v>
      </c>
      <c r="J8" s="75" t="n">
        <v>2000</v>
      </c>
      <c r="K8" s="19" t="s">
        <v>1876</v>
      </c>
      <c r="L8" s="41" t="s">
        <v>1883</v>
      </c>
    </row>
    <row r="9" customFormat="false" ht="15" hidden="false" customHeight="false" outlineLevel="0" collapsed="false">
      <c r="A9" s="40" t="n">
        <v>5</v>
      </c>
      <c r="B9" s="127" t="s">
        <v>1164</v>
      </c>
      <c r="C9" s="127" t="s">
        <v>1884</v>
      </c>
      <c r="D9" s="128" t="n">
        <v>765</v>
      </c>
      <c r="E9" s="122" t="n">
        <v>2</v>
      </c>
      <c r="F9" s="129" t="n">
        <v>280</v>
      </c>
      <c r="G9" s="175" t="n">
        <v>0.000598</v>
      </c>
      <c r="H9" s="175" t="n">
        <v>0.006339</v>
      </c>
      <c r="I9" s="175" t="n">
        <v>11.798136</v>
      </c>
      <c r="J9" s="75" t="n">
        <v>4000</v>
      </c>
      <c r="K9" s="19" t="s">
        <v>1876</v>
      </c>
      <c r="L9" s="41" t="s">
        <v>1885</v>
      </c>
    </row>
    <row r="10" customFormat="false" ht="15" hidden="false" customHeight="false" outlineLevel="0" collapsed="false">
      <c r="A10" s="40" t="n">
        <v>6</v>
      </c>
      <c r="B10" s="124" t="s">
        <v>1886</v>
      </c>
      <c r="C10" s="124" t="s">
        <v>1887</v>
      </c>
      <c r="D10" s="132" t="n">
        <v>500</v>
      </c>
      <c r="E10" s="125" t="n">
        <v>1</v>
      </c>
      <c r="F10" s="133" t="n">
        <v>900</v>
      </c>
      <c r="G10" s="175" t="n">
        <v>0</v>
      </c>
      <c r="H10" s="175" t="n">
        <v>0</v>
      </c>
      <c r="I10" s="175" t="n">
        <v>0</v>
      </c>
      <c r="J10" s="75" t="n">
        <v>1500</v>
      </c>
      <c r="K10" s="15" t="s">
        <v>1757</v>
      </c>
      <c r="L10" s="41" t="s">
        <v>1888</v>
      </c>
    </row>
    <row r="11" customFormat="false" ht="15" hidden="false" customHeight="false" outlineLevel="0" collapsed="false">
      <c r="A11" s="40" t="n">
        <v>7</v>
      </c>
      <c r="B11" s="11" t="s">
        <v>977</v>
      </c>
      <c r="C11" s="11" t="s">
        <v>1006</v>
      </c>
      <c r="D11" s="135" t="n">
        <v>400</v>
      </c>
      <c r="E11" s="15" t="n">
        <v>2</v>
      </c>
      <c r="F11" s="66" t="n">
        <v>80</v>
      </c>
      <c r="G11" s="175" t="n">
        <v>0.001225</v>
      </c>
      <c r="H11" s="175" t="n">
        <v>0.0078</v>
      </c>
      <c r="I11" s="175" t="n">
        <v>0.8192</v>
      </c>
      <c r="J11" s="75" t="n">
        <v>1200</v>
      </c>
      <c r="K11" s="19" t="s">
        <v>1876</v>
      </c>
      <c r="L11" s="41" t="s">
        <v>1889</v>
      </c>
    </row>
    <row r="12" customFormat="false" ht="15" hidden="false" customHeight="false" outlineLevel="0" collapsed="false">
      <c r="A12" s="40" t="n">
        <v>8</v>
      </c>
      <c r="B12" s="11" t="s">
        <v>977</v>
      </c>
      <c r="C12" s="11" t="s">
        <v>1890</v>
      </c>
      <c r="D12" s="135" t="n">
        <v>400</v>
      </c>
      <c r="E12" s="15" t="n">
        <v>2</v>
      </c>
      <c r="F12" s="66" t="n">
        <v>60</v>
      </c>
      <c r="G12" s="175" t="n">
        <v>0.000919</v>
      </c>
      <c r="H12" s="175" t="n">
        <v>0.00585</v>
      </c>
      <c r="I12" s="175" t="n">
        <v>0.6144</v>
      </c>
      <c r="J12" s="75" t="n">
        <v>1200</v>
      </c>
      <c r="K12" s="19" t="s">
        <v>1876</v>
      </c>
      <c r="L12" s="41" t="s">
        <v>1891</v>
      </c>
    </row>
    <row r="13" customFormat="false" ht="15" hidden="false" customHeight="false" outlineLevel="0" collapsed="false">
      <c r="A13" s="40" t="n">
        <v>9</v>
      </c>
      <c r="B13" s="11" t="s">
        <v>1176</v>
      </c>
      <c r="C13" s="11" t="s">
        <v>977</v>
      </c>
      <c r="D13" s="135" t="n">
        <v>400</v>
      </c>
      <c r="E13" s="15" t="n">
        <v>2</v>
      </c>
      <c r="F13" s="66" t="n">
        <v>50</v>
      </c>
      <c r="G13" s="175" t="n">
        <v>0.000766</v>
      </c>
      <c r="H13" s="175" t="n">
        <v>0.004875</v>
      </c>
      <c r="I13" s="175" t="n">
        <v>0.512</v>
      </c>
      <c r="J13" s="75" t="n">
        <v>1200</v>
      </c>
      <c r="K13" s="19" t="s">
        <v>1876</v>
      </c>
      <c r="L13" s="41" t="s">
        <v>1892</v>
      </c>
    </row>
    <row r="14" customFormat="false" ht="15" hidden="false" customHeight="false" outlineLevel="0" collapsed="false">
      <c r="A14" s="40" t="n">
        <v>10</v>
      </c>
      <c r="B14" s="11" t="s">
        <v>1006</v>
      </c>
      <c r="C14" s="11" t="s">
        <v>1047</v>
      </c>
      <c r="D14" s="135" t="n">
        <v>400</v>
      </c>
      <c r="E14" s="15" t="n">
        <v>2</v>
      </c>
      <c r="F14" s="66" t="n">
        <v>90</v>
      </c>
      <c r="G14" s="175" t="n">
        <v>0.001378</v>
      </c>
      <c r="H14" s="175" t="n">
        <v>0.008775</v>
      </c>
      <c r="I14" s="175" t="n">
        <v>0.9216</v>
      </c>
      <c r="J14" s="75" t="n">
        <v>1200</v>
      </c>
      <c r="K14" s="19" t="s">
        <v>1876</v>
      </c>
      <c r="L14" s="41" t="s">
        <v>1893</v>
      </c>
    </row>
    <row r="15" customFormat="false" ht="15" hidden="false" customHeight="false" outlineLevel="0" collapsed="false">
      <c r="A15" s="40" t="n">
        <v>11</v>
      </c>
      <c r="B15" s="11" t="s">
        <v>1047</v>
      </c>
      <c r="C15" s="11" t="s">
        <v>1180</v>
      </c>
      <c r="D15" s="135" t="n">
        <v>400</v>
      </c>
      <c r="E15" s="15" t="n">
        <v>2</v>
      </c>
      <c r="F15" s="66" t="n">
        <v>70</v>
      </c>
      <c r="G15" s="175" t="n">
        <v>0.001072</v>
      </c>
      <c r="H15" s="175" t="n">
        <v>0.006825</v>
      </c>
      <c r="I15" s="175" t="n">
        <v>0.7168</v>
      </c>
      <c r="J15" s="75" t="n">
        <v>1200</v>
      </c>
      <c r="K15" s="19" t="s">
        <v>1876</v>
      </c>
      <c r="L15" s="41" t="s">
        <v>1894</v>
      </c>
    </row>
    <row r="16" customFormat="false" ht="15" hidden="false" customHeight="false" outlineLevel="0" collapsed="false">
      <c r="A16" s="40" t="n">
        <v>12</v>
      </c>
      <c r="B16" s="11" t="s">
        <v>1180</v>
      </c>
      <c r="C16" s="11" t="s">
        <v>1078</v>
      </c>
      <c r="D16" s="135" t="n">
        <v>400</v>
      </c>
      <c r="E16" s="15" t="n">
        <v>2</v>
      </c>
      <c r="F16" s="66" t="n">
        <v>100</v>
      </c>
      <c r="G16" s="175" t="n">
        <v>0.001531</v>
      </c>
      <c r="H16" s="175" t="n">
        <v>0.00975</v>
      </c>
      <c r="I16" s="175" t="n">
        <v>1.024</v>
      </c>
      <c r="J16" s="75" t="n">
        <v>1200</v>
      </c>
      <c r="K16" s="19" t="s">
        <v>1876</v>
      </c>
      <c r="L16" s="41" t="s">
        <v>1895</v>
      </c>
    </row>
    <row r="17" customFormat="false" ht="15" hidden="false" customHeight="false" outlineLevel="0" collapsed="false">
      <c r="A17" s="40" t="n">
        <v>13</v>
      </c>
      <c r="B17" s="11" t="s">
        <v>1024</v>
      </c>
      <c r="C17" s="11" t="s">
        <v>1019</v>
      </c>
      <c r="D17" s="135" t="n">
        <v>400</v>
      </c>
      <c r="E17" s="15" t="n">
        <v>2</v>
      </c>
      <c r="F17" s="66" t="n">
        <v>35</v>
      </c>
      <c r="G17" s="175" t="n">
        <v>0.000536</v>
      </c>
      <c r="H17" s="175" t="n">
        <v>0.003413</v>
      </c>
      <c r="I17" s="175" t="n">
        <v>0.3584</v>
      </c>
      <c r="J17" s="75" t="n">
        <v>1200</v>
      </c>
      <c r="K17" s="19" t="s">
        <v>1876</v>
      </c>
      <c r="L17" s="41" t="s">
        <v>1896</v>
      </c>
    </row>
    <row r="18" customFormat="false" ht="15" hidden="false" customHeight="false" outlineLevel="0" collapsed="false">
      <c r="A18" s="40" t="n">
        <v>14</v>
      </c>
      <c r="B18" s="11" t="s">
        <v>1024</v>
      </c>
      <c r="C18" s="11" t="s">
        <v>1027</v>
      </c>
      <c r="D18" s="135" t="n">
        <v>400</v>
      </c>
      <c r="E18" s="15" t="n">
        <v>1</v>
      </c>
      <c r="F18" s="66" t="n">
        <v>55</v>
      </c>
      <c r="G18" s="175" t="n">
        <v>0.001684</v>
      </c>
      <c r="H18" s="175" t="n">
        <v>0.010725</v>
      </c>
      <c r="I18" s="175" t="n">
        <v>0.2816</v>
      </c>
      <c r="J18" s="75" t="n">
        <v>600</v>
      </c>
      <c r="K18" s="19" t="s">
        <v>1876</v>
      </c>
      <c r="L18" s="41" t="s">
        <v>1897</v>
      </c>
    </row>
    <row r="19" customFormat="false" ht="15" hidden="false" customHeight="false" outlineLevel="0" collapsed="false">
      <c r="A19" s="40" t="n">
        <v>15</v>
      </c>
      <c r="B19" s="11" t="s">
        <v>1024</v>
      </c>
      <c r="C19" s="11" t="s">
        <v>1037</v>
      </c>
      <c r="D19" s="135" t="n">
        <v>400</v>
      </c>
      <c r="E19" s="15" t="n">
        <v>1</v>
      </c>
      <c r="F19" s="66" t="n">
        <v>80</v>
      </c>
      <c r="G19" s="175" t="n">
        <v>0.00245</v>
      </c>
      <c r="H19" s="175" t="n">
        <v>0.0156</v>
      </c>
      <c r="I19" s="175" t="n">
        <v>0.4096</v>
      </c>
      <c r="J19" s="75" t="n">
        <v>600</v>
      </c>
      <c r="K19" s="19" t="s">
        <v>1876</v>
      </c>
      <c r="L19" s="41" t="s">
        <v>1898</v>
      </c>
    </row>
    <row r="20" customFormat="false" ht="15" hidden="false" customHeight="false" outlineLevel="0" collapsed="false">
      <c r="A20" s="40" t="n">
        <v>16</v>
      </c>
      <c r="B20" s="11" t="s">
        <v>1075</v>
      </c>
      <c r="C20" s="11" t="s">
        <v>1182</v>
      </c>
      <c r="D20" s="135" t="n">
        <v>400</v>
      </c>
      <c r="E20" s="15" t="n">
        <v>2</v>
      </c>
      <c r="F20" s="66" t="n">
        <v>30</v>
      </c>
      <c r="G20" s="175" t="n">
        <v>0.000459</v>
      </c>
      <c r="H20" s="175" t="n">
        <v>0.002925</v>
      </c>
      <c r="I20" s="175" t="n">
        <v>0.3072</v>
      </c>
      <c r="J20" s="75" t="n">
        <v>1200</v>
      </c>
      <c r="K20" s="19" t="s">
        <v>1876</v>
      </c>
      <c r="L20" s="41" t="s">
        <v>1899</v>
      </c>
    </row>
    <row r="21" customFormat="false" ht="15" hidden="false" customHeight="false" outlineLevel="0" collapsed="false">
      <c r="A21" s="40" t="n">
        <v>17</v>
      </c>
      <c r="B21" s="11" t="s">
        <v>1075</v>
      </c>
      <c r="C21" s="11" t="s">
        <v>1078</v>
      </c>
      <c r="D21" s="135" t="n">
        <v>400</v>
      </c>
      <c r="E21" s="15" t="n">
        <v>2</v>
      </c>
      <c r="F21" s="66" t="n">
        <v>40</v>
      </c>
      <c r="G21" s="175" t="n">
        <v>0.000612</v>
      </c>
      <c r="H21" s="175" t="n">
        <v>0.0039</v>
      </c>
      <c r="I21" s="175" t="n">
        <v>0.4096</v>
      </c>
      <c r="J21" s="75" t="n">
        <v>1200</v>
      </c>
      <c r="K21" s="19" t="s">
        <v>1876</v>
      </c>
      <c r="L21" s="41" t="s">
        <v>1900</v>
      </c>
    </row>
    <row r="22" customFormat="false" ht="15" hidden="false" customHeight="false" outlineLevel="0" collapsed="false">
      <c r="A22" s="40" t="n">
        <v>18</v>
      </c>
      <c r="B22" s="11" t="s">
        <v>1078</v>
      </c>
      <c r="C22" s="11" t="s">
        <v>275</v>
      </c>
      <c r="D22" s="135" t="n">
        <v>400</v>
      </c>
      <c r="E22" s="15" t="n">
        <v>2</v>
      </c>
      <c r="F22" s="66" t="n">
        <v>35</v>
      </c>
      <c r="G22" s="175" t="n">
        <v>0.000536</v>
      </c>
      <c r="H22" s="175" t="n">
        <v>0.003413</v>
      </c>
      <c r="I22" s="175" t="n">
        <v>0.3584</v>
      </c>
      <c r="J22" s="75" t="n">
        <v>1200</v>
      </c>
      <c r="K22" s="19" t="s">
        <v>1876</v>
      </c>
      <c r="L22" s="41" t="s">
        <v>1896</v>
      </c>
    </row>
    <row r="23" customFormat="false" ht="15" hidden="false" customHeight="false" outlineLevel="0" collapsed="false">
      <c r="A23" s="40" t="n">
        <v>19</v>
      </c>
      <c r="B23" s="11" t="s">
        <v>1182</v>
      </c>
      <c r="C23" s="11" t="s">
        <v>1901</v>
      </c>
      <c r="D23" s="135" t="n">
        <v>400</v>
      </c>
      <c r="E23" s="15" t="n">
        <v>2</v>
      </c>
      <c r="F23" s="66" t="n">
        <v>100</v>
      </c>
      <c r="G23" s="175" t="n">
        <v>0.001531</v>
      </c>
      <c r="H23" s="175" t="n">
        <v>0.00975</v>
      </c>
      <c r="I23" s="175" t="n">
        <v>1.024</v>
      </c>
      <c r="J23" s="75" t="n">
        <v>1200</v>
      </c>
      <c r="K23" s="19" t="s">
        <v>1876</v>
      </c>
      <c r="L23" s="41" t="s">
        <v>1895</v>
      </c>
    </row>
    <row r="24" customFormat="false" ht="15" hidden="false" customHeight="false" outlineLevel="0" collapsed="false">
      <c r="A24" s="40" t="n">
        <v>20</v>
      </c>
      <c r="B24" s="11" t="s">
        <v>1167</v>
      </c>
      <c r="C24" s="11" t="s">
        <v>1098</v>
      </c>
      <c r="D24" s="135" t="n">
        <v>400</v>
      </c>
      <c r="E24" s="15" t="n">
        <v>2</v>
      </c>
      <c r="F24" s="66" t="n">
        <v>15</v>
      </c>
      <c r="G24" s="175" t="n">
        <v>0.00023</v>
      </c>
      <c r="H24" s="175" t="n">
        <v>0.001462</v>
      </c>
      <c r="I24" s="175" t="n">
        <v>0.1536</v>
      </c>
      <c r="J24" s="75" t="n">
        <v>1200</v>
      </c>
      <c r="K24" s="19" t="s">
        <v>1876</v>
      </c>
      <c r="L24" s="41" t="s">
        <v>1902</v>
      </c>
    </row>
    <row r="25" customFormat="false" ht="15" hidden="false" customHeight="false" outlineLevel="0" collapsed="false">
      <c r="A25" s="40" t="n">
        <v>21</v>
      </c>
      <c r="B25" s="11" t="s">
        <v>1098</v>
      </c>
      <c r="C25" s="11" t="s">
        <v>1903</v>
      </c>
      <c r="D25" s="135" t="n">
        <v>400</v>
      </c>
      <c r="E25" s="15" t="n">
        <v>2</v>
      </c>
      <c r="F25" s="66" t="n">
        <v>90</v>
      </c>
      <c r="G25" s="175" t="n">
        <v>0.001378</v>
      </c>
      <c r="H25" s="175" t="n">
        <v>0.008775</v>
      </c>
      <c r="I25" s="175" t="n">
        <v>0.9216</v>
      </c>
      <c r="J25" s="75" t="n">
        <v>1200</v>
      </c>
      <c r="K25" s="19" t="s">
        <v>1876</v>
      </c>
      <c r="L25" s="41" t="s">
        <v>1893</v>
      </c>
    </row>
    <row r="26" customFormat="false" ht="15" hidden="false" customHeight="false" outlineLevel="0" collapsed="false">
      <c r="A26" s="40" t="n">
        <v>22</v>
      </c>
      <c r="B26" s="11" t="s">
        <v>1185</v>
      </c>
      <c r="C26" s="11" t="s">
        <v>1117</v>
      </c>
      <c r="D26" s="135" t="n">
        <v>400</v>
      </c>
      <c r="E26" s="15" t="n">
        <v>2</v>
      </c>
      <c r="F26" s="66" t="n">
        <v>60</v>
      </c>
      <c r="G26" s="175" t="n">
        <v>0.000919</v>
      </c>
      <c r="H26" s="175" t="n">
        <v>0.00585</v>
      </c>
      <c r="I26" s="175" t="n">
        <v>0.6144</v>
      </c>
      <c r="J26" s="75" t="n">
        <v>1200</v>
      </c>
      <c r="K26" s="19" t="s">
        <v>1876</v>
      </c>
      <c r="L26" s="41" t="s">
        <v>1891</v>
      </c>
    </row>
    <row r="27" customFormat="false" ht="15" hidden="false" customHeight="false" outlineLevel="0" collapsed="false">
      <c r="A27" s="40" t="n">
        <v>23</v>
      </c>
      <c r="B27" s="11" t="s">
        <v>1117</v>
      </c>
      <c r="C27" s="11" t="s">
        <v>1904</v>
      </c>
      <c r="D27" s="135" t="n">
        <v>400</v>
      </c>
      <c r="E27" s="15" t="n">
        <v>2</v>
      </c>
      <c r="F27" s="66" t="n">
        <v>180</v>
      </c>
      <c r="G27" s="175" t="n">
        <v>0.002756</v>
      </c>
      <c r="H27" s="175" t="n">
        <v>0.01755</v>
      </c>
      <c r="I27" s="175" t="n">
        <v>1.8432</v>
      </c>
      <c r="J27" s="75" t="n">
        <v>1200</v>
      </c>
      <c r="K27" s="19" t="s">
        <v>1876</v>
      </c>
      <c r="L27" s="41" t="s">
        <v>1905</v>
      </c>
    </row>
    <row r="28" customFormat="false" ht="15" hidden="false" customHeight="false" outlineLevel="0" collapsed="false">
      <c r="A28" s="40" t="n">
        <v>24</v>
      </c>
      <c r="B28" s="11" t="s">
        <v>1167</v>
      </c>
      <c r="C28" s="11" t="s">
        <v>1906</v>
      </c>
      <c r="D28" s="135" t="n">
        <v>400</v>
      </c>
      <c r="E28" s="15" t="n">
        <v>2</v>
      </c>
      <c r="F28" s="66" t="n">
        <v>250</v>
      </c>
      <c r="G28" s="175" t="n">
        <v>0.003828</v>
      </c>
      <c r="H28" s="175" t="n">
        <v>0.024375</v>
      </c>
      <c r="I28" s="175" t="n">
        <v>2.56</v>
      </c>
      <c r="J28" s="75" t="n">
        <v>1200</v>
      </c>
      <c r="K28" s="19" t="s">
        <v>1876</v>
      </c>
      <c r="L28" s="41" t="s">
        <v>1907</v>
      </c>
    </row>
    <row r="29" customFormat="false" ht="15" hidden="false" customHeight="false" outlineLevel="0" collapsed="false">
      <c r="A29" s="40" t="n">
        <v>25</v>
      </c>
      <c r="B29" s="20" t="s">
        <v>977</v>
      </c>
      <c r="C29" s="20" t="s">
        <v>333</v>
      </c>
      <c r="D29" s="137" t="n">
        <v>220</v>
      </c>
      <c r="E29" s="12" t="n">
        <v>2</v>
      </c>
      <c r="F29" s="68" t="n">
        <v>60</v>
      </c>
      <c r="G29" s="175" t="n">
        <v>0.004525</v>
      </c>
      <c r="H29" s="175" t="n">
        <v>0.022066</v>
      </c>
      <c r="I29" s="175" t="n">
        <v>0.15972</v>
      </c>
      <c r="J29" s="75" t="n">
        <v>600</v>
      </c>
      <c r="K29" s="19" t="s">
        <v>1876</v>
      </c>
      <c r="L29" s="41" t="s">
        <v>1908</v>
      </c>
    </row>
    <row r="30" customFormat="false" ht="15" hidden="false" customHeight="false" outlineLevel="0" collapsed="false">
      <c r="A30" s="40" t="n">
        <v>26</v>
      </c>
      <c r="B30" s="20" t="s">
        <v>1006</v>
      </c>
      <c r="C30" s="20" t="s">
        <v>264</v>
      </c>
      <c r="D30" s="137" t="n">
        <v>220</v>
      </c>
      <c r="E30" s="12" t="n">
        <v>2</v>
      </c>
      <c r="F30" s="68" t="n">
        <v>70</v>
      </c>
      <c r="G30" s="175" t="n">
        <v>0.005279</v>
      </c>
      <c r="H30" s="175" t="n">
        <v>0.025744</v>
      </c>
      <c r="I30" s="175" t="n">
        <v>0.18634</v>
      </c>
      <c r="J30" s="75" t="n">
        <v>600</v>
      </c>
      <c r="K30" s="19" t="s">
        <v>1876</v>
      </c>
      <c r="L30" s="41" t="s">
        <v>1909</v>
      </c>
    </row>
    <row r="31" customFormat="false" ht="15" hidden="false" customHeight="false" outlineLevel="0" collapsed="false">
      <c r="A31" s="40" t="n">
        <v>27</v>
      </c>
      <c r="B31" s="20" t="s">
        <v>1006</v>
      </c>
      <c r="C31" s="20" t="s">
        <v>1040</v>
      </c>
      <c r="D31" s="137" t="n">
        <v>220</v>
      </c>
      <c r="E31" s="12" t="n">
        <v>2</v>
      </c>
      <c r="F31" s="68" t="n">
        <v>80</v>
      </c>
      <c r="G31" s="175" t="n">
        <v>0.006033</v>
      </c>
      <c r="H31" s="175" t="n">
        <v>0.029421</v>
      </c>
      <c r="I31" s="175" t="n">
        <v>0.21296</v>
      </c>
      <c r="J31" s="75" t="n">
        <v>600</v>
      </c>
      <c r="K31" s="19" t="s">
        <v>1876</v>
      </c>
      <c r="L31" s="41" t="s">
        <v>1910</v>
      </c>
    </row>
    <row r="32" customFormat="false" ht="15" hidden="false" customHeight="false" outlineLevel="0" collapsed="false">
      <c r="A32" s="40" t="n">
        <v>28</v>
      </c>
      <c r="B32" s="20" t="s">
        <v>1190</v>
      </c>
      <c r="C32" s="20" t="s">
        <v>264</v>
      </c>
      <c r="D32" s="137" t="n">
        <v>220</v>
      </c>
      <c r="E32" s="12" t="n">
        <v>2</v>
      </c>
      <c r="F32" s="68" t="n">
        <v>30</v>
      </c>
      <c r="G32" s="175" t="n">
        <v>0.002262</v>
      </c>
      <c r="H32" s="175" t="n">
        <v>0.011033</v>
      </c>
      <c r="I32" s="175" t="n">
        <v>0.07986</v>
      </c>
      <c r="J32" s="75" t="n">
        <v>600</v>
      </c>
      <c r="K32" s="19" t="s">
        <v>1876</v>
      </c>
      <c r="L32" s="41" t="s">
        <v>1911</v>
      </c>
    </row>
    <row r="33" customFormat="false" ht="15" hidden="false" customHeight="false" outlineLevel="0" collapsed="false">
      <c r="A33" s="40" t="n">
        <v>29</v>
      </c>
      <c r="B33" s="20" t="s">
        <v>264</v>
      </c>
      <c r="C33" s="20" t="s">
        <v>1040</v>
      </c>
      <c r="D33" s="137" t="n">
        <v>220</v>
      </c>
      <c r="E33" s="12" t="n">
        <v>2</v>
      </c>
      <c r="F33" s="68" t="n">
        <v>25</v>
      </c>
      <c r="G33" s="175" t="n">
        <v>0.001885</v>
      </c>
      <c r="H33" s="175" t="n">
        <v>0.009194</v>
      </c>
      <c r="I33" s="175" t="n">
        <v>0.06655</v>
      </c>
      <c r="J33" s="75" t="n">
        <v>600</v>
      </c>
      <c r="K33" s="19" t="s">
        <v>1876</v>
      </c>
      <c r="L33" s="41" t="s">
        <v>1912</v>
      </c>
    </row>
    <row r="34" customFormat="false" ht="15" hidden="false" customHeight="false" outlineLevel="0" collapsed="false">
      <c r="A34" s="40" t="n">
        <v>30</v>
      </c>
      <c r="B34" s="20" t="s">
        <v>1040</v>
      </c>
      <c r="C34" s="20" t="s">
        <v>1019</v>
      </c>
      <c r="D34" s="137" t="n">
        <v>220</v>
      </c>
      <c r="E34" s="12" t="n">
        <v>2</v>
      </c>
      <c r="F34" s="68" t="n">
        <v>90</v>
      </c>
      <c r="G34" s="175" t="n">
        <v>0.006787</v>
      </c>
      <c r="H34" s="175" t="n">
        <v>0.033099</v>
      </c>
      <c r="I34" s="175" t="n">
        <v>0.23958</v>
      </c>
      <c r="J34" s="75" t="n">
        <v>600</v>
      </c>
      <c r="K34" s="19" t="s">
        <v>1876</v>
      </c>
      <c r="L34" s="41" t="s">
        <v>1913</v>
      </c>
    </row>
    <row r="35" customFormat="false" ht="15" hidden="false" customHeight="false" outlineLevel="0" collapsed="false">
      <c r="A35" s="40" t="n">
        <v>31</v>
      </c>
      <c r="B35" s="20" t="s">
        <v>1019</v>
      </c>
      <c r="C35" s="20" t="s">
        <v>1042</v>
      </c>
      <c r="D35" s="137" t="n">
        <v>220</v>
      </c>
      <c r="E35" s="12" t="n">
        <v>2</v>
      </c>
      <c r="F35" s="68" t="n">
        <v>60</v>
      </c>
      <c r="G35" s="175" t="n">
        <v>0.004525</v>
      </c>
      <c r="H35" s="175" t="n">
        <v>0.022066</v>
      </c>
      <c r="I35" s="175" t="n">
        <v>0.15972</v>
      </c>
      <c r="J35" s="75" t="n">
        <v>600</v>
      </c>
      <c r="K35" s="19" t="s">
        <v>1876</v>
      </c>
      <c r="L35" s="41" t="s">
        <v>1908</v>
      </c>
    </row>
    <row r="36" customFormat="false" ht="15" hidden="false" customHeight="false" outlineLevel="0" collapsed="false">
      <c r="A36" s="40" t="n">
        <v>32</v>
      </c>
      <c r="B36" s="20" t="s">
        <v>1019</v>
      </c>
      <c r="C36" s="20" t="s">
        <v>1045</v>
      </c>
      <c r="D36" s="137" t="n">
        <v>220</v>
      </c>
      <c r="E36" s="12" t="n">
        <v>2</v>
      </c>
      <c r="F36" s="68" t="n">
        <v>40</v>
      </c>
      <c r="G36" s="175" t="n">
        <v>0.003017</v>
      </c>
      <c r="H36" s="175" t="n">
        <v>0.014711</v>
      </c>
      <c r="I36" s="175" t="n">
        <v>0.10648</v>
      </c>
      <c r="J36" s="75" t="n">
        <v>600</v>
      </c>
      <c r="K36" s="19" t="s">
        <v>1876</v>
      </c>
      <c r="L36" s="41" t="s">
        <v>1914</v>
      </c>
    </row>
    <row r="37" customFormat="false" ht="15" hidden="false" customHeight="false" outlineLevel="0" collapsed="false">
      <c r="A37" s="40" t="n">
        <v>33</v>
      </c>
      <c r="B37" s="20" t="s">
        <v>1024</v>
      </c>
      <c r="C37" s="20" t="s">
        <v>1030</v>
      </c>
      <c r="D37" s="137" t="n">
        <v>220</v>
      </c>
      <c r="E37" s="12" t="n">
        <v>2</v>
      </c>
      <c r="F37" s="68" t="n">
        <v>55</v>
      </c>
      <c r="G37" s="175" t="n">
        <v>0.004148</v>
      </c>
      <c r="H37" s="175" t="n">
        <v>0.020227</v>
      </c>
      <c r="I37" s="175" t="n">
        <v>0.14641</v>
      </c>
      <c r="J37" s="75" t="n">
        <v>600</v>
      </c>
      <c r="K37" s="19" t="s">
        <v>1876</v>
      </c>
      <c r="L37" s="41" t="s">
        <v>1915</v>
      </c>
    </row>
    <row r="38" customFormat="false" ht="15" hidden="false" customHeight="false" outlineLevel="0" collapsed="false">
      <c r="A38" s="40" t="n">
        <v>34</v>
      </c>
      <c r="B38" s="20" t="s">
        <v>1027</v>
      </c>
      <c r="C38" s="20" t="s">
        <v>1037</v>
      </c>
      <c r="D38" s="137" t="n">
        <v>220</v>
      </c>
      <c r="E38" s="12" t="n">
        <v>2</v>
      </c>
      <c r="F38" s="68" t="n">
        <v>65</v>
      </c>
      <c r="G38" s="175" t="n">
        <v>0.004902</v>
      </c>
      <c r="H38" s="175" t="n">
        <v>0.023905</v>
      </c>
      <c r="I38" s="175" t="n">
        <v>0.17303</v>
      </c>
      <c r="J38" s="75" t="n">
        <v>600</v>
      </c>
      <c r="K38" s="19" t="s">
        <v>1876</v>
      </c>
      <c r="L38" s="41" t="s">
        <v>1916</v>
      </c>
    </row>
    <row r="39" customFormat="false" ht="15" hidden="false" customHeight="false" outlineLevel="0" collapsed="false">
      <c r="A39" s="40" t="n">
        <v>35</v>
      </c>
      <c r="B39" s="20" t="s">
        <v>1193</v>
      </c>
      <c r="C39" s="20" t="s">
        <v>1027</v>
      </c>
      <c r="D39" s="137" t="n">
        <v>220</v>
      </c>
      <c r="E39" s="12" t="n">
        <v>1</v>
      </c>
      <c r="F39" s="68" t="n">
        <v>55</v>
      </c>
      <c r="G39" s="175" t="n">
        <v>0.008295</v>
      </c>
      <c r="H39" s="175" t="n">
        <v>0.040455</v>
      </c>
      <c r="I39" s="175" t="n">
        <v>0.073205</v>
      </c>
      <c r="J39" s="75" t="n">
        <v>300</v>
      </c>
      <c r="K39" s="19" t="s">
        <v>1876</v>
      </c>
      <c r="L39" s="41" t="s">
        <v>1917</v>
      </c>
    </row>
    <row r="40" customFormat="false" ht="15" hidden="false" customHeight="false" outlineLevel="0" collapsed="false">
      <c r="A40" s="40" t="n">
        <v>36</v>
      </c>
      <c r="B40" s="20" t="s">
        <v>1057</v>
      </c>
      <c r="C40" s="20" t="s">
        <v>271</v>
      </c>
      <c r="D40" s="137" t="n">
        <v>220</v>
      </c>
      <c r="E40" s="12" t="n">
        <v>4</v>
      </c>
      <c r="F40" s="68" t="n">
        <v>30</v>
      </c>
      <c r="G40" s="175" t="n">
        <v>0.001131</v>
      </c>
      <c r="H40" s="175" t="n">
        <v>0.005517</v>
      </c>
      <c r="I40" s="175" t="n">
        <v>0.15972</v>
      </c>
      <c r="J40" s="75" t="n">
        <v>1200</v>
      </c>
      <c r="K40" s="19" t="s">
        <v>1876</v>
      </c>
      <c r="L40" s="41" t="s">
        <v>1918</v>
      </c>
    </row>
    <row r="41" customFormat="false" ht="15" hidden="false" customHeight="false" outlineLevel="0" collapsed="false">
      <c r="A41" s="40" t="n">
        <v>37</v>
      </c>
      <c r="B41" s="20" t="s">
        <v>1055</v>
      </c>
      <c r="C41" s="20" t="s">
        <v>1057</v>
      </c>
      <c r="D41" s="137" t="n">
        <v>220</v>
      </c>
      <c r="E41" s="12" t="n">
        <v>2</v>
      </c>
      <c r="F41" s="68" t="n">
        <v>60</v>
      </c>
      <c r="G41" s="175" t="n">
        <v>0.004525</v>
      </c>
      <c r="H41" s="175" t="n">
        <v>0.022066</v>
      </c>
      <c r="I41" s="175" t="n">
        <v>0.15972</v>
      </c>
      <c r="J41" s="75" t="n">
        <v>600</v>
      </c>
      <c r="K41" s="19" t="s">
        <v>1876</v>
      </c>
      <c r="L41" s="41" t="s">
        <v>1908</v>
      </c>
    </row>
    <row r="42" customFormat="false" ht="15" hidden="false" customHeight="false" outlineLevel="0" collapsed="false">
      <c r="A42" s="40" t="n">
        <v>38</v>
      </c>
      <c r="B42" s="20" t="s">
        <v>1064</v>
      </c>
      <c r="C42" s="20" t="s">
        <v>1057</v>
      </c>
      <c r="D42" s="137" t="n">
        <v>220</v>
      </c>
      <c r="E42" s="12" t="n">
        <v>2</v>
      </c>
      <c r="F42" s="68" t="n">
        <v>55</v>
      </c>
      <c r="G42" s="175" t="n">
        <v>0.004148</v>
      </c>
      <c r="H42" s="175" t="n">
        <v>0.020227</v>
      </c>
      <c r="I42" s="175" t="n">
        <v>0.14641</v>
      </c>
      <c r="J42" s="75" t="n">
        <v>600</v>
      </c>
      <c r="K42" s="19" t="s">
        <v>1876</v>
      </c>
      <c r="L42" s="41" t="s">
        <v>1915</v>
      </c>
    </row>
    <row r="43" customFormat="false" ht="15" hidden="false" customHeight="false" outlineLevel="0" collapsed="false">
      <c r="A43" s="40" t="n">
        <v>39</v>
      </c>
      <c r="B43" s="20" t="s">
        <v>1060</v>
      </c>
      <c r="C43" s="20" t="s">
        <v>1057</v>
      </c>
      <c r="D43" s="137" t="n">
        <v>220</v>
      </c>
      <c r="E43" s="12" t="n">
        <v>2</v>
      </c>
      <c r="F43" s="68" t="n">
        <v>50</v>
      </c>
      <c r="G43" s="175" t="n">
        <v>0.003771</v>
      </c>
      <c r="H43" s="175" t="n">
        <v>0.018388</v>
      </c>
      <c r="I43" s="175" t="n">
        <v>0.1331</v>
      </c>
      <c r="J43" s="75" t="n">
        <v>600</v>
      </c>
      <c r="K43" s="19" t="s">
        <v>1876</v>
      </c>
      <c r="L43" s="41" t="s">
        <v>1919</v>
      </c>
    </row>
    <row r="44" customFormat="false" ht="15" hidden="false" customHeight="false" outlineLevel="0" collapsed="false">
      <c r="A44" s="40" t="n">
        <v>40</v>
      </c>
      <c r="B44" s="20" t="s">
        <v>1164</v>
      </c>
      <c r="C44" s="20" t="s">
        <v>1057</v>
      </c>
      <c r="D44" s="137" t="n">
        <v>220</v>
      </c>
      <c r="E44" s="12" t="n">
        <v>2</v>
      </c>
      <c r="F44" s="68" t="n">
        <v>80</v>
      </c>
      <c r="G44" s="175" t="n">
        <v>0.006033</v>
      </c>
      <c r="H44" s="175" t="n">
        <v>0.029421</v>
      </c>
      <c r="I44" s="175" t="n">
        <v>0.21296</v>
      </c>
      <c r="J44" s="75" t="n">
        <v>600</v>
      </c>
      <c r="K44" s="19" t="s">
        <v>1876</v>
      </c>
      <c r="L44" s="41" t="s">
        <v>1910</v>
      </c>
    </row>
    <row r="45" customFormat="false" ht="15" hidden="false" customHeight="false" outlineLevel="0" collapsed="false">
      <c r="A45" s="40" t="n">
        <v>41</v>
      </c>
      <c r="B45" s="20" t="s">
        <v>1196</v>
      </c>
      <c r="C45" s="20" t="s">
        <v>1060</v>
      </c>
      <c r="D45" s="137" t="n">
        <v>220</v>
      </c>
      <c r="E45" s="12" t="n">
        <v>4</v>
      </c>
      <c r="F45" s="68" t="n">
        <v>60</v>
      </c>
      <c r="G45" s="175" t="n">
        <v>0.002262</v>
      </c>
      <c r="H45" s="175" t="n">
        <v>0.011033</v>
      </c>
      <c r="I45" s="175" t="n">
        <v>0.31944</v>
      </c>
      <c r="J45" s="75" t="n">
        <v>1200</v>
      </c>
      <c r="K45" s="19" t="s">
        <v>1876</v>
      </c>
      <c r="L45" s="41" t="s">
        <v>1920</v>
      </c>
    </row>
    <row r="46" customFormat="false" ht="15" hidden="false" customHeight="false" outlineLevel="0" collapsed="false">
      <c r="A46" s="40" t="n">
        <v>42</v>
      </c>
      <c r="B46" s="20" t="s">
        <v>271</v>
      </c>
      <c r="C46" s="20" t="s">
        <v>275</v>
      </c>
      <c r="D46" s="137" t="n">
        <v>220</v>
      </c>
      <c r="E46" s="12" t="n">
        <v>4</v>
      </c>
      <c r="F46" s="68" t="n">
        <v>60</v>
      </c>
      <c r="G46" s="175" t="n">
        <v>0.002262</v>
      </c>
      <c r="H46" s="175" t="n">
        <v>0.011033</v>
      </c>
      <c r="I46" s="175" t="n">
        <v>0.31944</v>
      </c>
      <c r="J46" s="75" t="n">
        <v>1200</v>
      </c>
      <c r="K46" s="19" t="s">
        <v>1876</v>
      </c>
      <c r="L46" s="41" t="s">
        <v>1920</v>
      </c>
    </row>
    <row r="47" customFormat="false" ht="15" hidden="false" customHeight="false" outlineLevel="0" collapsed="false">
      <c r="A47" s="40" t="n">
        <v>43</v>
      </c>
      <c r="B47" s="20" t="s">
        <v>275</v>
      </c>
      <c r="C47" s="20" t="s">
        <v>1167</v>
      </c>
      <c r="D47" s="137" t="n">
        <v>220</v>
      </c>
      <c r="E47" s="12" t="n">
        <v>4</v>
      </c>
      <c r="F47" s="68" t="n">
        <v>65</v>
      </c>
      <c r="G47" s="175" t="n">
        <v>0.002451</v>
      </c>
      <c r="H47" s="175" t="n">
        <v>0.011952</v>
      </c>
      <c r="I47" s="175" t="n">
        <v>0.34606</v>
      </c>
      <c r="J47" s="75" t="n">
        <v>1200</v>
      </c>
      <c r="K47" s="19" t="s">
        <v>1876</v>
      </c>
      <c r="L47" s="41" t="s">
        <v>1921</v>
      </c>
    </row>
    <row r="48" customFormat="false" ht="15" hidden="false" customHeight="false" outlineLevel="0" collapsed="false">
      <c r="A48" s="40" t="n">
        <v>44</v>
      </c>
      <c r="B48" s="20" t="s">
        <v>275</v>
      </c>
      <c r="C48" s="20" t="s">
        <v>1087</v>
      </c>
      <c r="D48" s="137" t="n">
        <v>220</v>
      </c>
      <c r="E48" s="12" t="n">
        <v>2</v>
      </c>
      <c r="F48" s="68" t="n">
        <v>50</v>
      </c>
      <c r="G48" s="175" t="n">
        <v>0.003771</v>
      </c>
      <c r="H48" s="175" t="n">
        <v>0.018388</v>
      </c>
      <c r="I48" s="175" t="n">
        <v>0.1331</v>
      </c>
      <c r="J48" s="75" t="n">
        <v>600</v>
      </c>
      <c r="K48" s="19" t="s">
        <v>1876</v>
      </c>
      <c r="L48" s="41" t="s">
        <v>1919</v>
      </c>
    </row>
    <row r="49" customFormat="false" ht="15" hidden="false" customHeight="false" outlineLevel="0" collapsed="false">
      <c r="A49" s="40" t="n">
        <v>45</v>
      </c>
      <c r="B49" s="20" t="s">
        <v>1090</v>
      </c>
      <c r="C49" s="20" t="s">
        <v>1167</v>
      </c>
      <c r="D49" s="137" t="n">
        <v>220</v>
      </c>
      <c r="E49" s="12" t="n">
        <v>2</v>
      </c>
      <c r="F49" s="68" t="n">
        <v>40</v>
      </c>
      <c r="G49" s="175" t="n">
        <v>0.003017</v>
      </c>
      <c r="H49" s="175" t="n">
        <v>0.014711</v>
      </c>
      <c r="I49" s="175" t="n">
        <v>0.10648</v>
      </c>
      <c r="J49" s="75" t="n">
        <v>600</v>
      </c>
      <c r="K49" s="19" t="s">
        <v>1876</v>
      </c>
      <c r="L49" s="41" t="s">
        <v>1914</v>
      </c>
    </row>
    <row r="50" customFormat="false" ht="15" hidden="false" customHeight="false" outlineLevel="0" collapsed="false">
      <c r="A50" s="40" t="n">
        <v>46</v>
      </c>
      <c r="B50" s="20" t="s">
        <v>1075</v>
      </c>
      <c r="C50" s="20" t="s">
        <v>271</v>
      </c>
      <c r="D50" s="137" t="n">
        <v>220</v>
      </c>
      <c r="E50" s="12" t="n">
        <v>4</v>
      </c>
      <c r="F50" s="68" t="n">
        <v>15</v>
      </c>
      <c r="G50" s="175" t="n">
        <v>0.000566</v>
      </c>
      <c r="H50" s="175" t="n">
        <v>0.002758</v>
      </c>
      <c r="I50" s="175" t="n">
        <v>0.07986</v>
      </c>
      <c r="J50" s="75" t="n">
        <v>1200</v>
      </c>
      <c r="K50" s="19" t="s">
        <v>1876</v>
      </c>
      <c r="L50" s="41" t="s">
        <v>1922</v>
      </c>
    </row>
    <row r="51" customFormat="false" ht="15" hidden="false" customHeight="false" outlineLevel="0" collapsed="false">
      <c r="A51" s="40" t="n">
        <v>47</v>
      </c>
      <c r="B51" s="20" t="s">
        <v>147</v>
      </c>
      <c r="C51" s="20" t="s">
        <v>1185</v>
      </c>
      <c r="D51" s="137" t="n">
        <v>220</v>
      </c>
      <c r="E51" s="12" t="n">
        <v>4</v>
      </c>
      <c r="F51" s="68" t="n">
        <v>60</v>
      </c>
      <c r="G51" s="175" t="n">
        <v>0.002262</v>
      </c>
      <c r="H51" s="175" t="n">
        <v>0.011033</v>
      </c>
      <c r="I51" s="175" t="n">
        <v>0.31944</v>
      </c>
      <c r="J51" s="75" t="n">
        <v>1200</v>
      </c>
      <c r="K51" s="19" t="s">
        <v>1876</v>
      </c>
      <c r="L51" s="41" t="s">
        <v>1920</v>
      </c>
    </row>
    <row r="52" customFormat="false" ht="15" hidden="false" customHeight="false" outlineLevel="0" collapsed="false">
      <c r="A52" s="40" t="n">
        <v>48</v>
      </c>
      <c r="B52" s="20" t="s">
        <v>147</v>
      </c>
      <c r="C52" s="20" t="s">
        <v>1167</v>
      </c>
      <c r="D52" s="137" t="n">
        <v>220</v>
      </c>
      <c r="E52" s="12" t="n">
        <v>2</v>
      </c>
      <c r="F52" s="68" t="n">
        <v>110</v>
      </c>
      <c r="G52" s="175" t="n">
        <v>0.008295</v>
      </c>
      <c r="H52" s="175" t="n">
        <v>0.040455</v>
      </c>
      <c r="I52" s="175" t="n">
        <v>0.29282</v>
      </c>
      <c r="J52" s="75" t="n">
        <v>600</v>
      </c>
      <c r="K52" s="19" t="s">
        <v>1876</v>
      </c>
      <c r="L52" s="41" t="s">
        <v>1923</v>
      </c>
    </row>
    <row r="53" customFormat="false" ht="15" hidden="false" customHeight="false" outlineLevel="0" collapsed="false">
      <c r="A53" s="40" t="n">
        <v>49</v>
      </c>
      <c r="B53" s="20" t="s">
        <v>1185</v>
      </c>
      <c r="C53" s="20" t="s">
        <v>1126</v>
      </c>
      <c r="D53" s="137" t="n">
        <v>220</v>
      </c>
      <c r="E53" s="12" t="n">
        <v>4</v>
      </c>
      <c r="F53" s="68" t="n">
        <v>50</v>
      </c>
      <c r="G53" s="175" t="n">
        <v>0.001885</v>
      </c>
      <c r="H53" s="175" t="n">
        <v>0.009194</v>
      </c>
      <c r="I53" s="175" t="n">
        <v>0.2662</v>
      </c>
      <c r="J53" s="75" t="n">
        <v>1200</v>
      </c>
      <c r="K53" s="19" t="s">
        <v>1876</v>
      </c>
      <c r="L53" s="41" t="s">
        <v>1924</v>
      </c>
    </row>
    <row r="54" customFormat="false" ht="15" hidden="false" customHeight="false" outlineLevel="0" collapsed="false">
      <c r="A54" s="40" t="n">
        <v>50</v>
      </c>
      <c r="B54" s="20" t="s">
        <v>1126</v>
      </c>
      <c r="C54" s="20" t="s">
        <v>1167</v>
      </c>
      <c r="D54" s="137" t="n">
        <v>220</v>
      </c>
      <c r="E54" s="12" t="n">
        <v>4</v>
      </c>
      <c r="F54" s="68" t="n">
        <v>55</v>
      </c>
      <c r="G54" s="175" t="n">
        <v>0.002074</v>
      </c>
      <c r="H54" s="175" t="n">
        <v>0.010114</v>
      </c>
      <c r="I54" s="175" t="n">
        <v>0.29282</v>
      </c>
      <c r="J54" s="75" t="n">
        <v>1200</v>
      </c>
      <c r="K54" s="19" t="s">
        <v>1876</v>
      </c>
      <c r="L54" s="41" t="s">
        <v>1925</v>
      </c>
    </row>
    <row r="55" customFormat="false" ht="15" hidden="false" customHeight="false" outlineLevel="0" collapsed="false">
      <c r="A55" s="40" t="n">
        <v>51</v>
      </c>
      <c r="B55" s="20" t="s">
        <v>1121</v>
      </c>
      <c r="C55" s="20" t="s">
        <v>1185</v>
      </c>
      <c r="D55" s="137" t="n">
        <v>220</v>
      </c>
      <c r="E55" s="12" t="n">
        <v>2</v>
      </c>
      <c r="F55" s="68" t="n">
        <v>15</v>
      </c>
      <c r="G55" s="175" t="n">
        <v>0.001131</v>
      </c>
      <c r="H55" s="175" t="n">
        <v>0.005517</v>
      </c>
      <c r="I55" s="175" t="n">
        <v>0.03993</v>
      </c>
      <c r="J55" s="75" t="n">
        <v>600</v>
      </c>
      <c r="K55" s="19" t="s">
        <v>1876</v>
      </c>
      <c r="L55" s="41" t="s">
        <v>1926</v>
      </c>
    </row>
    <row r="56" customFormat="false" ht="15" hidden="false" customHeight="false" outlineLevel="0" collapsed="false">
      <c r="A56" s="40" t="n">
        <v>52</v>
      </c>
      <c r="B56" s="20" t="s">
        <v>1201</v>
      </c>
      <c r="C56" s="20" t="s">
        <v>1126</v>
      </c>
      <c r="D56" s="137" t="n">
        <v>220</v>
      </c>
      <c r="E56" s="12" t="n">
        <v>2</v>
      </c>
      <c r="F56" s="68" t="n">
        <v>20</v>
      </c>
      <c r="G56" s="175" t="n">
        <v>0.001508</v>
      </c>
      <c r="H56" s="175" t="n">
        <v>0.007355</v>
      </c>
      <c r="I56" s="175" t="n">
        <v>0.05324</v>
      </c>
      <c r="J56" s="75" t="n">
        <v>600</v>
      </c>
      <c r="K56" s="19" t="s">
        <v>1876</v>
      </c>
      <c r="L56" s="41" t="s">
        <v>1927</v>
      </c>
    </row>
    <row r="57" customFormat="false" ht="15" hidden="false" customHeight="false" outlineLevel="0" collapsed="false">
      <c r="A57" s="40" t="n">
        <v>53</v>
      </c>
      <c r="B57" s="20" t="s">
        <v>1203</v>
      </c>
      <c r="C57" s="20" t="s">
        <v>1126</v>
      </c>
      <c r="D57" s="137" t="n">
        <v>220</v>
      </c>
      <c r="E57" s="12" t="n">
        <v>2</v>
      </c>
      <c r="F57" s="68" t="n">
        <v>25</v>
      </c>
      <c r="G57" s="175" t="n">
        <v>0.001885</v>
      </c>
      <c r="H57" s="175" t="n">
        <v>0.009194</v>
      </c>
      <c r="I57" s="175" t="n">
        <v>0.06655</v>
      </c>
      <c r="J57" s="75" t="n">
        <v>600</v>
      </c>
      <c r="K57" s="19" t="s">
        <v>1876</v>
      </c>
      <c r="L57" s="41" t="s">
        <v>1912</v>
      </c>
    </row>
    <row r="58" customFormat="false" ht="15" hidden="false" customHeight="false" outlineLevel="0" collapsed="false">
      <c r="A58" s="40" t="n">
        <v>54</v>
      </c>
      <c r="B58" s="20" t="s">
        <v>1204</v>
      </c>
      <c r="C58" s="20" t="s">
        <v>1185</v>
      </c>
      <c r="D58" s="137" t="n">
        <v>220</v>
      </c>
      <c r="E58" s="12" t="n">
        <v>2</v>
      </c>
      <c r="F58" s="68" t="n">
        <v>10</v>
      </c>
      <c r="G58" s="175" t="n">
        <v>0.000754</v>
      </c>
      <c r="H58" s="175" t="n">
        <v>0.003678</v>
      </c>
      <c r="I58" s="175" t="n">
        <v>0.02662</v>
      </c>
      <c r="J58" s="75" t="n">
        <v>600</v>
      </c>
      <c r="K58" s="19" t="s">
        <v>1876</v>
      </c>
      <c r="L58" s="41" t="s">
        <v>1928</v>
      </c>
    </row>
    <row r="59" customFormat="false" ht="15" hidden="false" customHeight="false" outlineLevel="0" collapsed="false">
      <c r="A59" s="40" t="n">
        <v>55</v>
      </c>
      <c r="B59" s="20" t="s">
        <v>1205</v>
      </c>
      <c r="C59" s="20" t="s">
        <v>1185</v>
      </c>
      <c r="D59" s="137" t="n">
        <v>220</v>
      </c>
      <c r="E59" s="12" t="n">
        <v>2</v>
      </c>
      <c r="F59" s="68" t="n">
        <v>15</v>
      </c>
      <c r="G59" s="175" t="n">
        <v>0.001131</v>
      </c>
      <c r="H59" s="175" t="n">
        <v>0.005517</v>
      </c>
      <c r="I59" s="175" t="n">
        <v>0.03993</v>
      </c>
      <c r="J59" s="75" t="n">
        <v>600</v>
      </c>
      <c r="K59" s="19" t="s">
        <v>1876</v>
      </c>
      <c r="L59" s="41" t="s">
        <v>1926</v>
      </c>
    </row>
    <row r="60" customFormat="false" ht="15" hidden="false" customHeight="false" outlineLevel="0" collapsed="false">
      <c r="A60" s="40" t="n">
        <v>56</v>
      </c>
      <c r="B60" s="20" t="s">
        <v>1206</v>
      </c>
      <c r="C60" s="20" t="s">
        <v>1090</v>
      </c>
      <c r="D60" s="137" t="n">
        <v>220</v>
      </c>
      <c r="E60" s="12" t="n">
        <v>2</v>
      </c>
      <c r="F60" s="68" t="n">
        <v>30</v>
      </c>
      <c r="G60" s="175" t="n">
        <v>0.002262</v>
      </c>
      <c r="H60" s="175" t="n">
        <v>0.011033</v>
      </c>
      <c r="I60" s="175" t="n">
        <v>0.07986</v>
      </c>
      <c r="J60" s="75" t="n">
        <v>600</v>
      </c>
      <c r="K60" s="19" t="s">
        <v>1876</v>
      </c>
      <c r="L60" s="41" t="s">
        <v>1911</v>
      </c>
    </row>
    <row r="61" customFormat="false" ht="15" hidden="false" customHeight="false" outlineLevel="0" collapsed="false">
      <c r="A61" s="40" t="n">
        <v>57</v>
      </c>
      <c r="B61" s="20" t="s">
        <v>1185</v>
      </c>
      <c r="C61" s="20" t="s">
        <v>1114</v>
      </c>
      <c r="D61" s="137" t="n">
        <v>220</v>
      </c>
      <c r="E61" s="12" t="n">
        <v>2</v>
      </c>
      <c r="F61" s="68" t="n">
        <v>45</v>
      </c>
      <c r="G61" s="175" t="n">
        <v>0.003394</v>
      </c>
      <c r="H61" s="175" t="n">
        <v>0.01655</v>
      </c>
      <c r="I61" s="175" t="n">
        <v>0.11979</v>
      </c>
      <c r="J61" s="75" t="n">
        <v>600</v>
      </c>
      <c r="K61" s="19" t="s">
        <v>1876</v>
      </c>
      <c r="L61" s="41" t="s">
        <v>1929</v>
      </c>
    </row>
    <row r="62" customFormat="false" ht="15" hidden="false" customHeight="false" outlineLevel="0" collapsed="false">
      <c r="A62" s="40" t="n">
        <v>58</v>
      </c>
      <c r="B62" s="20" t="s">
        <v>1114</v>
      </c>
      <c r="C62" s="20" t="s">
        <v>1117</v>
      </c>
      <c r="D62" s="137" t="n">
        <v>220</v>
      </c>
      <c r="E62" s="12" t="n">
        <v>2</v>
      </c>
      <c r="F62" s="68" t="n">
        <v>35</v>
      </c>
      <c r="G62" s="175" t="n">
        <v>0.002639</v>
      </c>
      <c r="H62" s="175" t="n">
        <v>0.012872</v>
      </c>
      <c r="I62" s="175" t="n">
        <v>0.09317</v>
      </c>
      <c r="J62" s="75" t="n">
        <v>600</v>
      </c>
      <c r="K62" s="19" t="s">
        <v>1876</v>
      </c>
      <c r="L62" s="41" t="s">
        <v>1930</v>
      </c>
    </row>
    <row r="63" customFormat="false" ht="15" hidden="false" customHeight="false" outlineLevel="0" collapsed="false">
      <c r="A63" s="40" t="n">
        <v>59</v>
      </c>
      <c r="B63" s="20" t="s">
        <v>1103</v>
      </c>
      <c r="C63" s="20" t="s">
        <v>1931</v>
      </c>
      <c r="D63" s="137" t="n">
        <v>220</v>
      </c>
      <c r="E63" s="12" t="n">
        <v>2</v>
      </c>
      <c r="F63" s="68" t="n">
        <v>180</v>
      </c>
      <c r="G63" s="175" t="n">
        <v>0.013574</v>
      </c>
      <c r="H63" s="175" t="n">
        <v>0.066198</v>
      </c>
      <c r="I63" s="175" t="n">
        <v>0.47916</v>
      </c>
      <c r="J63" s="75" t="n">
        <v>600</v>
      </c>
      <c r="K63" s="19" t="s">
        <v>1876</v>
      </c>
      <c r="L63" s="41" t="s">
        <v>1932</v>
      </c>
    </row>
  </sheetData>
  <mergeCells count="3">
    <mergeCell ref="A1:L1"/>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8"/>
    <col collapsed="false" customWidth="true" hidden="false" outlineLevel="0" max="5" min="4" style="0" width="10"/>
    <col collapsed="false" customWidth="true" hidden="false" outlineLevel="0" max="6" min="6" style="0" width="12"/>
    <col collapsed="false" customWidth="true" hidden="false" outlineLevel="0" max="7" min="7" style="0" width="13"/>
    <col collapsed="false" customWidth="true" hidden="false" outlineLevel="0" max="9" min="8" style="0" width="15"/>
    <col collapsed="false" customWidth="true" hidden="false" outlineLevel="0" max="11" min="10" style="0" width="16"/>
    <col collapsed="false" customWidth="true" hidden="false" outlineLevel="0" max="12" min="12" style="0" width="14"/>
    <col collapsed="false" customWidth="true" hidden="false" outlineLevel="0" max="14" min="13" style="0" width="10"/>
  </cols>
  <sheetData>
    <row r="1" customFormat="false" ht="27.75" hidden="false" customHeight="true" outlineLevel="0" collapsed="false">
      <c r="A1" s="8" t="s">
        <v>1933</v>
      </c>
      <c r="B1" s="8"/>
      <c r="C1" s="8"/>
      <c r="D1" s="8"/>
      <c r="E1" s="8"/>
      <c r="F1" s="8"/>
      <c r="G1" s="8"/>
      <c r="H1" s="8"/>
      <c r="I1" s="8"/>
      <c r="J1" s="8"/>
      <c r="K1" s="8"/>
      <c r="L1" s="8"/>
      <c r="M1" s="8"/>
      <c r="N1" s="8"/>
    </row>
    <row r="2" customFormat="false" ht="60" hidden="false" customHeight="true" outlineLevel="0" collapsed="false">
      <c r="A2" s="121" t="s">
        <v>1934</v>
      </c>
      <c r="B2" s="121"/>
      <c r="C2" s="121"/>
      <c r="D2" s="121"/>
      <c r="E2" s="121"/>
      <c r="F2" s="121"/>
      <c r="G2" s="121"/>
      <c r="H2" s="121"/>
      <c r="I2" s="121"/>
      <c r="J2" s="121"/>
      <c r="K2" s="121"/>
      <c r="L2" s="121"/>
      <c r="M2" s="121"/>
      <c r="N2" s="121"/>
    </row>
    <row r="3" customFormat="false" ht="21.75" hidden="false" customHeight="true" outlineLevel="0" collapsed="false">
      <c r="A3" s="78" t="s">
        <v>1935</v>
      </c>
      <c r="B3" s="78"/>
      <c r="C3" s="78"/>
      <c r="D3" s="78"/>
      <c r="E3" s="78"/>
      <c r="F3" s="78"/>
      <c r="G3" s="78"/>
      <c r="H3" s="78"/>
      <c r="I3" s="78"/>
      <c r="J3" s="78"/>
      <c r="K3" s="78"/>
      <c r="L3" s="78"/>
      <c r="M3" s="78"/>
      <c r="N3" s="78"/>
    </row>
    <row r="4" customFormat="false" ht="42" hidden="false" customHeight="true" outlineLevel="0" collapsed="false">
      <c r="A4" s="3" t="s">
        <v>132</v>
      </c>
      <c r="B4" s="3" t="s">
        <v>395</v>
      </c>
      <c r="C4" s="3" t="s">
        <v>1479</v>
      </c>
      <c r="D4" s="3" t="s">
        <v>263</v>
      </c>
      <c r="E4" s="3" t="s">
        <v>1936</v>
      </c>
      <c r="F4" s="3" t="s">
        <v>1937</v>
      </c>
      <c r="G4" s="3" t="s">
        <v>1938</v>
      </c>
      <c r="H4" s="3" t="s">
        <v>1939</v>
      </c>
      <c r="I4" s="3" t="s">
        <v>1940</v>
      </c>
      <c r="J4" s="3" t="s">
        <v>1941</v>
      </c>
      <c r="K4" s="3" t="s">
        <v>1942</v>
      </c>
      <c r="L4" s="3" t="s">
        <v>1943</v>
      </c>
      <c r="M4" s="3" t="s">
        <v>1944</v>
      </c>
      <c r="N4" s="3" t="s">
        <v>1945</v>
      </c>
    </row>
    <row r="5" customFormat="false" ht="15" hidden="false" customHeight="false" outlineLevel="0" collapsed="false">
      <c r="A5" s="40" t="n">
        <v>1</v>
      </c>
      <c r="B5" s="11" t="s">
        <v>150</v>
      </c>
      <c r="C5" s="15" t="s">
        <v>268</v>
      </c>
      <c r="D5" s="15" t="s">
        <v>148</v>
      </c>
      <c r="E5" s="66" t="n">
        <v>210</v>
      </c>
      <c r="F5" s="66" t="n">
        <v>141</v>
      </c>
      <c r="G5" s="176" t="n">
        <v>5.39</v>
      </c>
      <c r="H5" s="75" t="n">
        <v>250</v>
      </c>
      <c r="I5" s="75" t="n">
        <v>35250</v>
      </c>
      <c r="J5" s="66" t="n">
        <v>4789065</v>
      </c>
      <c r="K5" s="66" t="n">
        <v>2394532</v>
      </c>
      <c r="L5" s="66" t="n">
        <v>718360</v>
      </c>
      <c r="M5" s="19" t="n">
        <v>6</v>
      </c>
      <c r="N5" s="19" t="n">
        <v>4</v>
      </c>
    </row>
    <row r="6" customFormat="false" ht="15" hidden="false" customHeight="false" outlineLevel="0" collapsed="false">
      <c r="A6" s="40" t="n">
        <v>2</v>
      </c>
      <c r="B6" s="11" t="s">
        <v>150</v>
      </c>
      <c r="C6" s="15" t="s">
        <v>270</v>
      </c>
      <c r="D6" s="15" t="s">
        <v>148</v>
      </c>
      <c r="E6" s="66" t="n">
        <v>210</v>
      </c>
      <c r="F6" s="66" t="n">
        <v>141</v>
      </c>
      <c r="G6" s="176" t="n">
        <v>5.39</v>
      </c>
      <c r="H6" s="75" t="n">
        <v>250</v>
      </c>
      <c r="I6" s="75" t="n">
        <v>35250</v>
      </c>
      <c r="J6" s="66" t="n">
        <v>4789065</v>
      </c>
      <c r="K6" s="66" t="n">
        <v>2394532</v>
      </c>
      <c r="L6" s="66" t="n">
        <v>718360</v>
      </c>
      <c r="M6" s="19" t="n">
        <v>6</v>
      </c>
      <c r="N6" s="19" t="n">
        <v>4</v>
      </c>
    </row>
    <row r="7" customFormat="false" ht="15" hidden="false" customHeight="false" outlineLevel="0" collapsed="false">
      <c r="A7" s="40" t="n">
        <v>3</v>
      </c>
      <c r="B7" s="11" t="s">
        <v>150</v>
      </c>
      <c r="C7" s="15" t="s">
        <v>272</v>
      </c>
      <c r="D7" s="15" t="s">
        <v>148</v>
      </c>
      <c r="E7" s="66" t="n">
        <v>210</v>
      </c>
      <c r="F7" s="66" t="n">
        <v>154</v>
      </c>
      <c r="G7" s="176" t="n">
        <v>5.18</v>
      </c>
      <c r="H7" s="75" t="n">
        <v>250</v>
      </c>
      <c r="I7" s="75" t="n">
        <v>38500</v>
      </c>
      <c r="J7" s="66" t="n">
        <v>5036570</v>
      </c>
      <c r="K7" s="66" t="n">
        <v>2518285</v>
      </c>
      <c r="L7" s="66" t="n">
        <v>755486</v>
      </c>
      <c r="M7" s="19" t="n">
        <v>6</v>
      </c>
      <c r="N7" s="19" t="n">
        <v>4</v>
      </c>
    </row>
    <row r="8" customFormat="false" ht="15" hidden="false" customHeight="false" outlineLevel="0" collapsed="false">
      <c r="A8" s="40" t="n">
        <v>4</v>
      </c>
      <c r="B8" s="11" t="s">
        <v>152</v>
      </c>
      <c r="C8" s="15" t="s">
        <v>265</v>
      </c>
      <c r="D8" s="15" t="s">
        <v>148</v>
      </c>
      <c r="E8" s="66" t="n">
        <v>210</v>
      </c>
      <c r="F8" s="66" t="n">
        <v>144.8</v>
      </c>
      <c r="G8" s="176" t="n">
        <v>5.23</v>
      </c>
      <c r="H8" s="75" t="n">
        <v>250</v>
      </c>
      <c r="I8" s="75" t="n">
        <v>36200</v>
      </c>
      <c r="J8" s="66" t="n">
        <v>4779124</v>
      </c>
      <c r="K8" s="66" t="n">
        <v>2389562</v>
      </c>
      <c r="L8" s="66" t="n">
        <v>716869</v>
      </c>
      <c r="M8" s="19" t="n">
        <v>6</v>
      </c>
      <c r="N8" s="19" t="n">
        <v>4</v>
      </c>
    </row>
    <row r="9" customFormat="false" ht="15" hidden="false" customHeight="false" outlineLevel="0" collapsed="false">
      <c r="A9" s="40" t="n">
        <v>5</v>
      </c>
      <c r="B9" s="11" t="s">
        <v>152</v>
      </c>
      <c r="C9" s="15" t="s">
        <v>267</v>
      </c>
      <c r="D9" s="15" t="s">
        <v>148</v>
      </c>
      <c r="E9" s="66" t="n">
        <v>210</v>
      </c>
      <c r="F9" s="66" t="n">
        <v>144.8</v>
      </c>
      <c r="G9" s="176" t="n">
        <v>5.23</v>
      </c>
      <c r="H9" s="75" t="n">
        <v>250</v>
      </c>
      <c r="I9" s="75" t="n">
        <v>36200</v>
      </c>
      <c r="J9" s="66" t="n">
        <v>4779124</v>
      </c>
      <c r="K9" s="66" t="n">
        <v>2389562</v>
      </c>
      <c r="L9" s="66" t="n">
        <v>716869</v>
      </c>
      <c r="M9" s="19" t="n">
        <v>6</v>
      </c>
      <c r="N9" s="19" t="n">
        <v>4</v>
      </c>
    </row>
    <row r="10" customFormat="false" ht="15" hidden="false" customHeight="false" outlineLevel="0" collapsed="false">
      <c r="A10" s="40" t="n">
        <v>6</v>
      </c>
      <c r="B10" s="11" t="s">
        <v>152</v>
      </c>
      <c r="C10" s="15" t="s">
        <v>268</v>
      </c>
      <c r="D10" s="15" t="s">
        <v>148</v>
      </c>
      <c r="E10" s="66" t="n">
        <v>210</v>
      </c>
      <c r="F10" s="66" t="n">
        <v>144.8</v>
      </c>
      <c r="G10" s="176" t="n">
        <v>4.83</v>
      </c>
      <c r="H10" s="75" t="n">
        <v>250</v>
      </c>
      <c r="I10" s="75" t="n">
        <v>36200</v>
      </c>
      <c r="J10" s="66" t="n">
        <v>4431604</v>
      </c>
      <c r="K10" s="66" t="n">
        <v>2215802</v>
      </c>
      <c r="L10" s="66" t="n">
        <v>664741</v>
      </c>
      <c r="M10" s="19" t="n">
        <v>6</v>
      </c>
      <c r="N10" s="19" t="n">
        <v>4</v>
      </c>
    </row>
    <row r="11" customFormat="false" ht="15" hidden="false" customHeight="false" outlineLevel="0" collapsed="false">
      <c r="A11" s="40" t="n">
        <v>7</v>
      </c>
      <c r="B11" s="11" t="s">
        <v>152</v>
      </c>
      <c r="C11" s="15" t="s">
        <v>270</v>
      </c>
      <c r="D11" s="15" t="s">
        <v>148</v>
      </c>
      <c r="E11" s="66" t="n">
        <v>210</v>
      </c>
      <c r="F11" s="66" t="n">
        <v>144.8</v>
      </c>
      <c r="G11" s="176" t="n">
        <v>5.23</v>
      </c>
      <c r="H11" s="75" t="n">
        <v>250</v>
      </c>
      <c r="I11" s="75" t="n">
        <v>36200</v>
      </c>
      <c r="J11" s="66" t="n">
        <v>4779124</v>
      </c>
      <c r="K11" s="66" t="n">
        <v>2389562</v>
      </c>
      <c r="L11" s="66" t="n">
        <v>716869</v>
      </c>
      <c r="M11" s="19" t="n">
        <v>6</v>
      </c>
      <c r="N11" s="19" t="n">
        <v>4</v>
      </c>
    </row>
    <row r="12" customFormat="false" ht="15" hidden="false" customHeight="false" outlineLevel="0" collapsed="false">
      <c r="A12" s="40" t="n">
        <v>8</v>
      </c>
      <c r="B12" s="11" t="s">
        <v>152</v>
      </c>
      <c r="C12" s="15" t="s">
        <v>272</v>
      </c>
      <c r="D12" s="15" t="s">
        <v>148</v>
      </c>
      <c r="E12" s="66" t="n">
        <v>210</v>
      </c>
      <c r="F12" s="66" t="n">
        <v>144.8</v>
      </c>
      <c r="G12" s="176" t="n">
        <v>5.23</v>
      </c>
      <c r="H12" s="75" t="n">
        <v>250</v>
      </c>
      <c r="I12" s="75" t="n">
        <v>36200</v>
      </c>
      <c r="J12" s="66" t="n">
        <v>4779124</v>
      </c>
      <c r="K12" s="66" t="n">
        <v>2389562</v>
      </c>
      <c r="L12" s="66" t="n">
        <v>716869</v>
      </c>
      <c r="M12" s="19" t="n">
        <v>6</v>
      </c>
      <c r="N12" s="19" t="n">
        <v>4</v>
      </c>
    </row>
    <row r="13" customFormat="false" ht="15" hidden="false" customHeight="false" outlineLevel="0" collapsed="false">
      <c r="A13" s="40" t="n">
        <v>9</v>
      </c>
      <c r="B13" s="11" t="s">
        <v>152</v>
      </c>
      <c r="C13" s="15" t="s">
        <v>274</v>
      </c>
      <c r="D13" s="15" t="s">
        <v>148</v>
      </c>
      <c r="E13" s="66" t="n">
        <v>210</v>
      </c>
      <c r="F13" s="66" t="n">
        <v>144.8</v>
      </c>
      <c r="G13" s="176" t="n">
        <v>5.23</v>
      </c>
      <c r="H13" s="75" t="n">
        <v>250</v>
      </c>
      <c r="I13" s="75" t="n">
        <v>36200</v>
      </c>
      <c r="J13" s="66" t="n">
        <v>4779124</v>
      </c>
      <c r="K13" s="66" t="n">
        <v>2389562</v>
      </c>
      <c r="L13" s="66" t="n">
        <v>716869</v>
      </c>
      <c r="M13" s="19" t="n">
        <v>6</v>
      </c>
      <c r="N13" s="19" t="n">
        <v>4</v>
      </c>
    </row>
    <row r="14" customFormat="false" ht="15" hidden="false" customHeight="false" outlineLevel="0" collapsed="false">
      <c r="A14" s="40" t="n">
        <v>10</v>
      </c>
      <c r="B14" s="11" t="s">
        <v>152</v>
      </c>
      <c r="C14" s="15" t="s">
        <v>276</v>
      </c>
      <c r="D14" s="15" t="s">
        <v>148</v>
      </c>
      <c r="E14" s="66" t="n">
        <v>210</v>
      </c>
      <c r="F14" s="66" t="n">
        <v>144.8</v>
      </c>
      <c r="G14" s="176" t="n">
        <v>5.18</v>
      </c>
      <c r="H14" s="75" t="n">
        <v>250</v>
      </c>
      <c r="I14" s="75" t="n">
        <v>36200</v>
      </c>
      <c r="J14" s="66" t="n">
        <v>4735684</v>
      </c>
      <c r="K14" s="66" t="n">
        <v>2367842</v>
      </c>
      <c r="L14" s="66" t="n">
        <v>710353</v>
      </c>
      <c r="M14" s="19" t="n">
        <v>6</v>
      </c>
      <c r="N14" s="19" t="n">
        <v>4</v>
      </c>
    </row>
    <row r="15" customFormat="false" ht="15" hidden="false" customHeight="false" outlineLevel="0" collapsed="false">
      <c r="A15" s="40" t="n">
        <v>11</v>
      </c>
      <c r="B15" s="11" t="s">
        <v>147</v>
      </c>
      <c r="C15" s="15" t="s">
        <v>265</v>
      </c>
      <c r="D15" s="15" t="s">
        <v>148</v>
      </c>
      <c r="E15" s="66" t="n">
        <v>120</v>
      </c>
      <c r="F15" s="66" t="n">
        <v>62</v>
      </c>
      <c r="G15" s="176" t="n">
        <v>5.35</v>
      </c>
      <c r="H15" s="75" t="n">
        <v>270</v>
      </c>
      <c r="I15" s="75" t="n">
        <v>16740</v>
      </c>
      <c r="J15" s="66" t="n">
        <v>2090950</v>
      </c>
      <c r="K15" s="66" t="n">
        <v>1045475</v>
      </c>
      <c r="L15" s="66" t="n">
        <v>313642</v>
      </c>
      <c r="M15" s="19" t="n">
        <v>6</v>
      </c>
      <c r="N15" s="19" t="n">
        <v>4</v>
      </c>
    </row>
    <row r="16" customFormat="false" ht="15" hidden="false" customHeight="false" outlineLevel="0" collapsed="false">
      <c r="A16" s="40" t="n">
        <v>12</v>
      </c>
      <c r="B16" s="11" t="s">
        <v>147</v>
      </c>
      <c r="C16" s="15" t="s">
        <v>267</v>
      </c>
      <c r="D16" s="15" t="s">
        <v>148</v>
      </c>
      <c r="E16" s="66" t="n">
        <v>120</v>
      </c>
      <c r="F16" s="66" t="n">
        <v>61.5</v>
      </c>
      <c r="G16" s="176" t="n">
        <v>5.35</v>
      </c>
      <c r="H16" s="75" t="n">
        <v>270</v>
      </c>
      <c r="I16" s="75" t="n">
        <v>16605</v>
      </c>
      <c r="J16" s="66" t="n">
        <v>2074088</v>
      </c>
      <c r="K16" s="66" t="n">
        <v>1037044</v>
      </c>
      <c r="L16" s="66" t="n">
        <v>311113</v>
      </c>
      <c r="M16" s="19" t="n">
        <v>6</v>
      </c>
      <c r="N16" s="19" t="n">
        <v>4</v>
      </c>
    </row>
    <row r="17" customFormat="false" ht="15" hidden="false" customHeight="false" outlineLevel="0" collapsed="false">
      <c r="A17" s="40" t="n">
        <v>13</v>
      </c>
      <c r="B17" s="11" t="s">
        <v>147</v>
      </c>
      <c r="C17" s="15" t="s">
        <v>268</v>
      </c>
      <c r="D17" s="15" t="s">
        <v>148</v>
      </c>
      <c r="E17" s="66" t="n">
        <v>200</v>
      </c>
      <c r="F17" s="66" t="n">
        <v>135</v>
      </c>
      <c r="G17" s="176" t="n">
        <v>5.35</v>
      </c>
      <c r="H17" s="75" t="n">
        <v>260</v>
      </c>
      <c r="I17" s="75" t="n">
        <v>35100</v>
      </c>
      <c r="J17" s="66" t="n">
        <v>4552875</v>
      </c>
      <c r="K17" s="66" t="n">
        <v>2276438</v>
      </c>
      <c r="L17" s="66" t="n">
        <v>682931</v>
      </c>
      <c r="M17" s="19" t="n">
        <v>6</v>
      </c>
      <c r="N17" s="19" t="n">
        <v>4</v>
      </c>
    </row>
    <row r="18" customFormat="false" ht="15" hidden="false" customHeight="false" outlineLevel="0" collapsed="false">
      <c r="A18" s="40" t="n">
        <v>14</v>
      </c>
      <c r="B18" s="11" t="s">
        <v>147</v>
      </c>
      <c r="C18" s="15" t="s">
        <v>270</v>
      </c>
      <c r="D18" s="15" t="s">
        <v>148</v>
      </c>
      <c r="E18" s="66" t="n">
        <v>200</v>
      </c>
      <c r="F18" s="66" t="n">
        <v>135</v>
      </c>
      <c r="G18" s="176" t="n">
        <v>4.7</v>
      </c>
      <c r="H18" s="75" t="n">
        <v>260</v>
      </c>
      <c r="I18" s="75" t="n">
        <v>35100</v>
      </c>
      <c r="J18" s="66" t="n">
        <v>4026375</v>
      </c>
      <c r="K18" s="66" t="n">
        <v>2013188</v>
      </c>
      <c r="L18" s="66" t="n">
        <v>603956</v>
      </c>
      <c r="M18" s="19" t="n">
        <v>6</v>
      </c>
      <c r="N18" s="19" t="n">
        <v>4</v>
      </c>
    </row>
    <row r="19" customFormat="false" ht="15" hidden="false" customHeight="false" outlineLevel="0" collapsed="false">
      <c r="A19" s="40" t="n">
        <v>15</v>
      </c>
      <c r="B19" s="11" t="s">
        <v>147</v>
      </c>
      <c r="C19" s="15" t="s">
        <v>272</v>
      </c>
      <c r="D19" s="15" t="s">
        <v>148</v>
      </c>
      <c r="E19" s="66" t="n">
        <v>210</v>
      </c>
      <c r="F19" s="66" t="n">
        <v>150.5</v>
      </c>
      <c r="G19" s="176" t="n">
        <v>5.35</v>
      </c>
      <c r="H19" s="75" t="n">
        <v>255</v>
      </c>
      <c r="I19" s="75" t="n">
        <v>38378</v>
      </c>
      <c r="J19" s="66" t="n">
        <v>5075612</v>
      </c>
      <c r="K19" s="66" t="n">
        <v>2537806</v>
      </c>
      <c r="L19" s="66" t="n">
        <v>761342</v>
      </c>
      <c r="M19" s="19" t="n">
        <v>6</v>
      </c>
      <c r="N19" s="19" t="n">
        <v>4</v>
      </c>
    </row>
    <row r="20" customFormat="false" ht="15" hidden="false" customHeight="false" outlineLevel="0" collapsed="false">
      <c r="A20" s="40" t="n">
        <v>16</v>
      </c>
      <c r="B20" s="11" t="s">
        <v>147</v>
      </c>
      <c r="C20" s="15" t="s">
        <v>274</v>
      </c>
      <c r="D20" s="15" t="s">
        <v>148</v>
      </c>
      <c r="E20" s="66" t="n">
        <v>500</v>
      </c>
      <c r="F20" s="66" t="n">
        <v>336.6</v>
      </c>
      <c r="G20" s="176" t="n">
        <v>4.51</v>
      </c>
      <c r="H20" s="75" t="n">
        <v>220</v>
      </c>
      <c r="I20" s="75" t="n">
        <v>74052</v>
      </c>
      <c r="J20" s="66" t="n">
        <v>12691503</v>
      </c>
      <c r="K20" s="66" t="n">
        <v>6345752</v>
      </c>
      <c r="L20" s="66" t="n">
        <v>1903725</v>
      </c>
      <c r="M20" s="19" t="n">
        <v>8</v>
      </c>
      <c r="N20" s="19" t="n">
        <v>6</v>
      </c>
    </row>
    <row r="21" customFormat="false" ht="15" hidden="false" customHeight="false" outlineLevel="0" collapsed="false">
      <c r="A21" s="40" t="n">
        <v>17</v>
      </c>
      <c r="B21" s="11" t="s">
        <v>154</v>
      </c>
      <c r="C21" s="15" t="s">
        <v>268</v>
      </c>
      <c r="D21" s="15" t="s">
        <v>148</v>
      </c>
      <c r="E21" s="66" t="n">
        <v>250</v>
      </c>
      <c r="F21" s="66" t="n">
        <v>165</v>
      </c>
      <c r="G21" s="176" t="n">
        <v>6.1</v>
      </c>
      <c r="H21" s="75" t="n">
        <v>260</v>
      </c>
      <c r="I21" s="75" t="n">
        <v>42900</v>
      </c>
      <c r="J21" s="66" t="n">
        <v>6307125</v>
      </c>
      <c r="K21" s="66" t="n">
        <v>3153562</v>
      </c>
      <c r="L21" s="66" t="n">
        <v>946069</v>
      </c>
      <c r="M21" s="19" t="n">
        <v>6</v>
      </c>
      <c r="N21" s="19" t="n">
        <v>4</v>
      </c>
    </row>
    <row r="22" customFormat="false" ht="15" hidden="false" customHeight="false" outlineLevel="0" collapsed="false">
      <c r="A22" s="40" t="n">
        <v>18</v>
      </c>
      <c r="B22" s="11" t="s">
        <v>154</v>
      </c>
      <c r="C22" s="15" t="s">
        <v>270</v>
      </c>
      <c r="D22" s="15" t="s">
        <v>148</v>
      </c>
      <c r="E22" s="66" t="n">
        <v>250</v>
      </c>
      <c r="F22" s="66" t="n">
        <v>165</v>
      </c>
      <c r="G22" s="176" t="n">
        <v>6.1</v>
      </c>
      <c r="H22" s="75" t="n">
        <v>260</v>
      </c>
      <c r="I22" s="75" t="n">
        <v>42900</v>
      </c>
      <c r="J22" s="66" t="n">
        <v>6307125</v>
      </c>
      <c r="K22" s="66" t="n">
        <v>3153562</v>
      </c>
      <c r="L22" s="66" t="n">
        <v>946069</v>
      </c>
      <c r="M22" s="19" t="n">
        <v>6</v>
      </c>
      <c r="N22" s="19" t="n">
        <v>4</v>
      </c>
    </row>
    <row r="23" customFormat="false" ht="15" hidden="false" customHeight="false" outlineLevel="0" collapsed="false">
      <c r="A23" s="40" t="n">
        <v>19</v>
      </c>
      <c r="B23" s="25" t="s">
        <v>1946</v>
      </c>
      <c r="C23" s="26" t="s">
        <v>265</v>
      </c>
      <c r="D23" s="26" t="s">
        <v>170</v>
      </c>
      <c r="E23" s="148" t="n">
        <v>125</v>
      </c>
      <c r="F23" s="148" t="n">
        <v>60</v>
      </c>
      <c r="G23" s="176" t="n">
        <v>3.36</v>
      </c>
      <c r="H23" s="75" t="n">
        <v>240</v>
      </c>
      <c r="I23" s="75" t="n">
        <v>14400</v>
      </c>
      <c r="J23" s="66" t="n">
        <v>1307100</v>
      </c>
      <c r="K23" s="66" t="n">
        <v>653550</v>
      </c>
      <c r="L23" s="66" t="n">
        <v>196065</v>
      </c>
      <c r="M23" s="19" t="n">
        <v>6</v>
      </c>
      <c r="N23" s="19" t="n">
        <v>4</v>
      </c>
    </row>
    <row r="24" customFormat="false" ht="15" hidden="false" customHeight="false" outlineLevel="0" collapsed="false">
      <c r="A24" s="40" t="n">
        <v>20</v>
      </c>
      <c r="B24" s="25" t="s">
        <v>1946</v>
      </c>
      <c r="C24" s="26" t="s">
        <v>267</v>
      </c>
      <c r="D24" s="26" t="s">
        <v>170</v>
      </c>
      <c r="E24" s="148" t="n">
        <v>125</v>
      </c>
      <c r="F24" s="148" t="n">
        <v>60</v>
      </c>
      <c r="G24" s="176" t="n">
        <v>3.36</v>
      </c>
      <c r="H24" s="75" t="n">
        <v>240</v>
      </c>
      <c r="I24" s="75" t="n">
        <v>14400</v>
      </c>
      <c r="J24" s="66" t="n">
        <v>1307100</v>
      </c>
      <c r="K24" s="66" t="n">
        <v>653550</v>
      </c>
      <c r="L24" s="66" t="n">
        <v>196065</v>
      </c>
      <c r="M24" s="19" t="n">
        <v>6</v>
      </c>
      <c r="N24" s="19" t="n">
        <v>4</v>
      </c>
    </row>
    <row r="25" customFormat="false" ht="15" hidden="false" customHeight="false" outlineLevel="0" collapsed="false">
      <c r="A25" s="40" t="n">
        <v>21</v>
      </c>
      <c r="B25" s="25" t="s">
        <v>1946</v>
      </c>
      <c r="C25" s="26" t="s">
        <v>268</v>
      </c>
      <c r="D25" s="26" t="s">
        <v>170</v>
      </c>
      <c r="E25" s="148" t="n">
        <v>125</v>
      </c>
      <c r="F25" s="148" t="n">
        <v>60</v>
      </c>
      <c r="G25" s="176" t="n">
        <v>3.45</v>
      </c>
      <c r="H25" s="75" t="n">
        <v>240</v>
      </c>
      <c r="I25" s="75" t="n">
        <v>14400</v>
      </c>
      <c r="J25" s="66" t="n">
        <v>1339500</v>
      </c>
      <c r="K25" s="66" t="n">
        <v>669750</v>
      </c>
      <c r="L25" s="66" t="n">
        <v>200925</v>
      </c>
      <c r="M25" s="19" t="n">
        <v>6</v>
      </c>
      <c r="N25" s="19" t="n">
        <v>4</v>
      </c>
    </row>
    <row r="26" customFormat="false" ht="15" hidden="false" customHeight="false" outlineLevel="0" collapsed="false">
      <c r="A26" s="40" t="n">
        <v>22</v>
      </c>
      <c r="B26" s="25" t="s">
        <v>1946</v>
      </c>
      <c r="C26" s="26" t="s">
        <v>270</v>
      </c>
      <c r="D26" s="26" t="s">
        <v>170</v>
      </c>
      <c r="E26" s="148" t="n">
        <v>125</v>
      </c>
      <c r="F26" s="148" t="n">
        <v>60</v>
      </c>
      <c r="G26" s="176" t="n">
        <v>3.45</v>
      </c>
      <c r="H26" s="75" t="n">
        <v>240</v>
      </c>
      <c r="I26" s="75" t="n">
        <v>14400</v>
      </c>
      <c r="J26" s="66" t="n">
        <v>1339500</v>
      </c>
      <c r="K26" s="66" t="n">
        <v>669750</v>
      </c>
      <c r="L26" s="66" t="n">
        <v>200925</v>
      </c>
      <c r="M26" s="19" t="n">
        <v>6</v>
      </c>
      <c r="N26" s="19" t="n">
        <v>4</v>
      </c>
    </row>
    <row r="27" customFormat="false" ht="15" hidden="false" customHeight="false" outlineLevel="0" collapsed="false">
      <c r="A27" s="40" t="n">
        <v>23</v>
      </c>
      <c r="B27" s="25" t="s">
        <v>1947</v>
      </c>
      <c r="C27" s="26" t="s">
        <v>265</v>
      </c>
      <c r="D27" s="26" t="s">
        <v>170</v>
      </c>
      <c r="E27" s="148" t="n">
        <v>125</v>
      </c>
      <c r="F27" s="148" t="n">
        <v>50</v>
      </c>
      <c r="G27" s="176" t="n">
        <v>2.84</v>
      </c>
      <c r="H27" s="75" t="n">
        <v>240</v>
      </c>
      <c r="I27" s="75" t="n">
        <v>12000</v>
      </c>
      <c r="J27" s="66" t="n">
        <v>933250</v>
      </c>
      <c r="K27" s="66" t="n">
        <v>466625</v>
      </c>
      <c r="L27" s="66" t="n">
        <v>139988</v>
      </c>
      <c r="M27" s="19" t="n">
        <v>6</v>
      </c>
      <c r="N27" s="19" t="n">
        <v>4</v>
      </c>
    </row>
    <row r="28" customFormat="false" ht="15" hidden="false" customHeight="false" outlineLevel="0" collapsed="false">
      <c r="A28" s="40" t="n">
        <v>24</v>
      </c>
      <c r="B28" s="25" t="s">
        <v>1947</v>
      </c>
      <c r="C28" s="26" t="s">
        <v>267</v>
      </c>
      <c r="D28" s="26" t="s">
        <v>170</v>
      </c>
      <c r="E28" s="148" t="n">
        <v>125</v>
      </c>
      <c r="F28" s="148" t="n">
        <v>50</v>
      </c>
      <c r="G28" s="176" t="n">
        <v>2.84</v>
      </c>
      <c r="H28" s="75" t="n">
        <v>240</v>
      </c>
      <c r="I28" s="75" t="n">
        <v>12000</v>
      </c>
      <c r="J28" s="66" t="n">
        <v>933250</v>
      </c>
      <c r="K28" s="66" t="n">
        <v>466625</v>
      </c>
      <c r="L28" s="66" t="n">
        <v>139988</v>
      </c>
      <c r="M28" s="19" t="n">
        <v>6</v>
      </c>
      <c r="N28" s="19" t="n">
        <v>4</v>
      </c>
    </row>
    <row r="29" customFormat="false" ht="15" hidden="false" customHeight="false" outlineLevel="0" collapsed="false">
      <c r="A29" s="40" t="n">
        <v>25</v>
      </c>
      <c r="B29" s="11" t="s">
        <v>1948</v>
      </c>
      <c r="C29" s="15" t="s">
        <v>265</v>
      </c>
      <c r="D29" s="15" t="s">
        <v>148</v>
      </c>
      <c r="E29" s="66" t="n">
        <v>330</v>
      </c>
      <c r="F29" s="66" t="n">
        <v>200</v>
      </c>
      <c r="G29" s="176" t="n">
        <v>5.16</v>
      </c>
      <c r="H29" s="75" t="n">
        <v>200</v>
      </c>
      <c r="I29" s="75" t="n">
        <v>40000</v>
      </c>
      <c r="J29" s="66" t="n">
        <v>6517000</v>
      </c>
      <c r="K29" s="66" t="n">
        <v>3258500</v>
      </c>
      <c r="L29" s="66" t="n">
        <v>977550</v>
      </c>
      <c r="M29" s="19" t="n">
        <v>6</v>
      </c>
      <c r="N29" s="19" t="n">
        <v>4</v>
      </c>
    </row>
    <row r="30" customFormat="false" ht="15" hidden="false" customHeight="false" outlineLevel="0" collapsed="false">
      <c r="A30" s="40" t="n">
        <v>26</v>
      </c>
      <c r="B30" s="11" t="s">
        <v>1948</v>
      </c>
      <c r="C30" s="15" t="s">
        <v>267</v>
      </c>
      <c r="D30" s="15" t="s">
        <v>148</v>
      </c>
      <c r="E30" s="66" t="n">
        <v>330</v>
      </c>
      <c r="F30" s="66" t="n">
        <v>200</v>
      </c>
      <c r="G30" s="176" t="n">
        <v>5.16</v>
      </c>
      <c r="H30" s="75" t="n">
        <v>200</v>
      </c>
      <c r="I30" s="75" t="n">
        <v>40000</v>
      </c>
      <c r="J30" s="66" t="n">
        <v>6517000</v>
      </c>
      <c r="K30" s="66" t="n">
        <v>3258500</v>
      </c>
      <c r="L30" s="66" t="n">
        <v>977550</v>
      </c>
      <c r="M30" s="19" t="n">
        <v>6</v>
      </c>
      <c r="N30" s="19" t="n">
        <v>4</v>
      </c>
    </row>
    <row r="31" customFormat="false" ht="15" hidden="false" customHeight="false" outlineLevel="0" collapsed="false">
      <c r="A31" s="40" t="n">
        <v>27</v>
      </c>
      <c r="B31" s="11" t="s">
        <v>1948</v>
      </c>
      <c r="C31" s="15" t="s">
        <v>268</v>
      </c>
      <c r="D31" s="15" t="s">
        <v>148</v>
      </c>
      <c r="E31" s="66" t="n">
        <v>330</v>
      </c>
      <c r="F31" s="66" t="n">
        <v>200</v>
      </c>
      <c r="G31" s="176" t="n">
        <v>5.16</v>
      </c>
      <c r="H31" s="75" t="n">
        <v>200</v>
      </c>
      <c r="I31" s="75" t="n">
        <v>40000</v>
      </c>
      <c r="J31" s="66" t="n">
        <v>6517000</v>
      </c>
      <c r="K31" s="66" t="n">
        <v>3258500</v>
      </c>
      <c r="L31" s="66" t="n">
        <v>977550</v>
      </c>
      <c r="M31" s="19" t="n">
        <v>6</v>
      </c>
      <c r="N31" s="19" t="n">
        <v>4</v>
      </c>
    </row>
    <row r="32" customFormat="false" ht="15" hidden="false" customHeight="false" outlineLevel="0" collapsed="false">
      <c r="A32" s="40" t="n">
        <v>28</v>
      </c>
      <c r="B32" s="11" t="s">
        <v>1948</v>
      </c>
      <c r="C32" s="15" t="s">
        <v>270</v>
      </c>
      <c r="D32" s="15" t="s">
        <v>148</v>
      </c>
      <c r="E32" s="66" t="n">
        <v>330</v>
      </c>
      <c r="F32" s="66" t="n">
        <v>200</v>
      </c>
      <c r="G32" s="176" t="n">
        <v>5.17</v>
      </c>
      <c r="H32" s="75" t="n">
        <v>200</v>
      </c>
      <c r="I32" s="75" t="n">
        <v>40000</v>
      </c>
      <c r="J32" s="66" t="n">
        <v>6529000</v>
      </c>
      <c r="K32" s="66" t="n">
        <v>3264500</v>
      </c>
      <c r="L32" s="66" t="n">
        <v>979350</v>
      </c>
      <c r="M32" s="19" t="n">
        <v>6</v>
      </c>
      <c r="N32" s="19" t="n">
        <v>4</v>
      </c>
    </row>
    <row r="33" customFormat="false" ht="15" hidden="false" customHeight="false" outlineLevel="0" collapsed="false">
      <c r="A33" s="40" t="n">
        <v>29</v>
      </c>
      <c r="B33" s="11" t="s">
        <v>1949</v>
      </c>
      <c r="C33" s="15" t="s">
        <v>265</v>
      </c>
      <c r="D33" s="15" t="s">
        <v>148</v>
      </c>
      <c r="E33" s="66" t="n">
        <v>660</v>
      </c>
      <c r="F33" s="66" t="n">
        <v>400</v>
      </c>
      <c r="G33" s="176" t="n">
        <v>4.82</v>
      </c>
      <c r="H33" s="75" t="n">
        <v>185</v>
      </c>
      <c r="I33" s="75" t="n">
        <v>74000</v>
      </c>
      <c r="J33" s="66" t="n">
        <v>16074000</v>
      </c>
      <c r="K33" s="66" t="n">
        <v>8037000</v>
      </c>
      <c r="L33" s="66" t="n">
        <v>2411100</v>
      </c>
      <c r="M33" s="19" t="n">
        <v>8</v>
      </c>
      <c r="N33" s="19" t="n">
        <v>6</v>
      </c>
    </row>
    <row r="34" customFormat="false" ht="15" hidden="false" customHeight="false" outlineLevel="0" collapsed="false">
      <c r="A34" s="40" t="n">
        <v>30</v>
      </c>
      <c r="B34" s="11" t="s">
        <v>1949</v>
      </c>
      <c r="C34" s="15" t="s">
        <v>267</v>
      </c>
      <c r="D34" s="15" t="s">
        <v>148</v>
      </c>
      <c r="E34" s="66" t="n">
        <v>660</v>
      </c>
      <c r="F34" s="66" t="n">
        <v>400</v>
      </c>
      <c r="G34" s="176" t="n">
        <v>4.83</v>
      </c>
      <c r="H34" s="75" t="n">
        <v>185</v>
      </c>
      <c r="I34" s="75" t="n">
        <v>74000</v>
      </c>
      <c r="J34" s="66" t="n">
        <v>16106000</v>
      </c>
      <c r="K34" s="66" t="n">
        <v>8053000</v>
      </c>
      <c r="L34" s="66" t="n">
        <v>2415900</v>
      </c>
      <c r="M34" s="19" t="n">
        <v>8</v>
      </c>
      <c r="N34" s="19" t="n">
        <v>6</v>
      </c>
    </row>
    <row r="35" customFormat="false" ht="15" hidden="false" customHeight="false" outlineLevel="0" collapsed="false">
      <c r="A35" s="40" t="n">
        <v>31</v>
      </c>
      <c r="B35" s="11" t="s">
        <v>1950</v>
      </c>
      <c r="C35" s="15" t="s">
        <v>265</v>
      </c>
      <c r="D35" s="15" t="s">
        <v>148</v>
      </c>
      <c r="E35" s="66" t="n">
        <v>600</v>
      </c>
      <c r="F35" s="66" t="n">
        <v>360</v>
      </c>
      <c r="G35" s="176" t="n">
        <v>5.52</v>
      </c>
      <c r="H35" s="75" t="n">
        <v>188</v>
      </c>
      <c r="I35" s="75" t="n">
        <v>67680</v>
      </c>
      <c r="J35" s="66" t="n">
        <v>16482600</v>
      </c>
      <c r="K35" s="66" t="n">
        <v>8241300</v>
      </c>
      <c r="L35" s="66" t="n">
        <v>2472390</v>
      </c>
      <c r="M35" s="19" t="n">
        <v>8</v>
      </c>
      <c r="N35" s="19" t="n">
        <v>6</v>
      </c>
    </row>
    <row r="36" customFormat="false" ht="15" hidden="false" customHeight="false" outlineLevel="0" collapsed="false">
      <c r="A36" s="40" t="n">
        <v>32</v>
      </c>
      <c r="B36" s="11" t="s">
        <v>1950</v>
      </c>
      <c r="C36" s="15" t="s">
        <v>267</v>
      </c>
      <c r="D36" s="15" t="s">
        <v>148</v>
      </c>
      <c r="E36" s="66" t="n">
        <v>600</v>
      </c>
      <c r="F36" s="66" t="n">
        <v>360</v>
      </c>
      <c r="G36" s="176" t="n">
        <v>5.52</v>
      </c>
      <c r="H36" s="75" t="n">
        <v>188</v>
      </c>
      <c r="I36" s="75" t="n">
        <v>67680</v>
      </c>
      <c r="J36" s="66" t="n">
        <v>16482600</v>
      </c>
      <c r="K36" s="66" t="n">
        <v>8241300</v>
      </c>
      <c r="L36" s="66" t="n">
        <v>2472390</v>
      </c>
      <c r="M36" s="19" t="n">
        <v>8</v>
      </c>
      <c r="N36" s="19" t="n">
        <v>6</v>
      </c>
    </row>
    <row r="37" customFormat="false" ht="15" hidden="false" customHeight="false" outlineLevel="0" collapsed="false">
      <c r="A37" s="40" t="n">
        <v>33</v>
      </c>
      <c r="B37" s="20" t="s">
        <v>179</v>
      </c>
      <c r="C37" s="12" t="s">
        <v>1951</v>
      </c>
      <c r="D37" s="12" t="s">
        <v>144</v>
      </c>
      <c r="E37" s="68" t="n">
        <v>1148</v>
      </c>
      <c r="F37" s="153" t="s">
        <v>1952</v>
      </c>
      <c r="G37" s="176" t="n">
        <v>4.94</v>
      </c>
      <c r="H37" s="75" t="n">
        <v>150</v>
      </c>
      <c r="I37" s="75" t="n">
        <v>51660</v>
      </c>
      <c r="J37" s="66" t="n">
        <v>3962322</v>
      </c>
      <c r="K37" s="66" t="n">
        <v>1981161</v>
      </c>
      <c r="L37" s="66" t="n">
        <v>594348</v>
      </c>
      <c r="M37" s="19" t="n">
        <v>2</v>
      </c>
      <c r="N37" s="19" t="n">
        <v>2</v>
      </c>
    </row>
    <row r="38" customFormat="false" ht="15" hidden="false" customHeight="false" outlineLevel="0" collapsed="false">
      <c r="A38" s="40" t="n">
        <v>34</v>
      </c>
      <c r="B38" s="20" t="s">
        <v>181</v>
      </c>
      <c r="C38" s="12" t="s">
        <v>1951</v>
      </c>
      <c r="D38" s="12" t="s">
        <v>144</v>
      </c>
      <c r="E38" s="68" t="n">
        <v>383</v>
      </c>
      <c r="F38" s="153" t="s">
        <v>1952</v>
      </c>
      <c r="G38" s="176" t="n">
        <v>3.79</v>
      </c>
      <c r="H38" s="75" t="n">
        <v>150</v>
      </c>
      <c r="I38" s="75" t="n">
        <v>17235</v>
      </c>
      <c r="J38" s="66" t="n">
        <v>1057654</v>
      </c>
      <c r="K38" s="66" t="n">
        <v>528827</v>
      </c>
      <c r="L38" s="66" t="n">
        <v>158648</v>
      </c>
      <c r="M38" s="19" t="n">
        <v>2</v>
      </c>
      <c r="N38" s="19" t="n">
        <v>2</v>
      </c>
    </row>
    <row r="39" customFormat="false" ht="15" hidden="false" customHeight="false" outlineLevel="0" collapsed="false">
      <c r="A39" s="40" t="n">
        <v>35</v>
      </c>
      <c r="B39" s="20" t="s">
        <v>142</v>
      </c>
      <c r="C39" s="12" t="s">
        <v>1951</v>
      </c>
      <c r="D39" s="12" t="s">
        <v>144</v>
      </c>
      <c r="E39" s="68" t="n">
        <v>595</v>
      </c>
      <c r="F39" s="153" t="s">
        <v>1952</v>
      </c>
      <c r="G39" s="176" t="n">
        <v>13.08</v>
      </c>
      <c r="H39" s="75" t="n">
        <v>160</v>
      </c>
      <c r="I39" s="75" t="n">
        <v>28560</v>
      </c>
      <c r="J39" s="66" t="n">
        <v>4959622</v>
      </c>
      <c r="K39" s="66" t="n">
        <v>2479811</v>
      </c>
      <c r="L39" s="66" t="n">
        <v>743943</v>
      </c>
      <c r="M39" s="19" t="n">
        <v>2</v>
      </c>
      <c r="N39" s="19" t="n">
        <v>2</v>
      </c>
    </row>
    <row r="40" customFormat="false" ht="15" hidden="false" customHeight="false" outlineLevel="0" collapsed="false">
      <c r="A40" s="40" t="n">
        <v>36</v>
      </c>
      <c r="B40" s="20" t="s">
        <v>277</v>
      </c>
      <c r="C40" s="12" t="s">
        <v>1951</v>
      </c>
      <c r="D40" s="12" t="s">
        <v>144</v>
      </c>
      <c r="E40" s="68" t="n">
        <v>375</v>
      </c>
      <c r="F40" s="153" t="s">
        <v>1952</v>
      </c>
      <c r="G40" s="176" t="n">
        <v>12.73</v>
      </c>
      <c r="H40" s="75" t="n">
        <v>160</v>
      </c>
      <c r="I40" s="75" t="n">
        <v>18000</v>
      </c>
      <c r="J40" s="66" t="n">
        <v>3047062</v>
      </c>
      <c r="K40" s="66" t="n">
        <v>1523531</v>
      </c>
      <c r="L40" s="66" t="n">
        <v>457059</v>
      </c>
      <c r="M40" s="19" t="n">
        <v>2</v>
      </c>
      <c r="N40" s="19" t="n">
        <v>2</v>
      </c>
    </row>
  </sheetData>
  <mergeCells count="3">
    <mergeCell ref="A1:N1"/>
    <mergeCell ref="A2:N2"/>
    <mergeCell ref="A3:N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6" min="6" style="0" width="20"/>
    <col collapsed="false" customWidth="true" hidden="false" outlineLevel="0" max="8" min="7" style="0" width="14"/>
    <col collapsed="false" customWidth="true" hidden="false" outlineLevel="0" max="9" min="9" style="0" width="18"/>
    <col collapsed="false" customWidth="true" hidden="false" outlineLevel="0" max="10" min="10" style="0" width="8"/>
    <col collapsed="false" customWidth="true" hidden="false" outlineLevel="0" max="11" min="11" style="0" width="16"/>
    <col collapsed="false" customWidth="true" hidden="false" outlineLevel="0" max="12" min="12" style="0" width="26"/>
  </cols>
  <sheetData>
    <row r="1" customFormat="false" ht="27.75" hidden="false" customHeight="true" outlineLevel="0" collapsed="false">
      <c r="A1" s="8" t="s">
        <v>1953</v>
      </c>
      <c r="B1" s="8"/>
      <c r="C1" s="8"/>
      <c r="D1" s="8"/>
      <c r="E1" s="8"/>
      <c r="F1" s="8"/>
      <c r="G1" s="8"/>
      <c r="H1" s="8"/>
      <c r="I1" s="8"/>
      <c r="J1" s="8"/>
      <c r="K1" s="8"/>
      <c r="L1" s="8"/>
    </row>
    <row r="2" customFormat="false" ht="51.75" hidden="false" customHeight="true" outlineLevel="0" collapsed="false">
      <c r="A2" s="121" t="s">
        <v>1954</v>
      </c>
      <c r="B2" s="121"/>
      <c r="C2" s="121"/>
      <c r="D2" s="121"/>
      <c r="E2" s="121"/>
      <c r="F2" s="121"/>
      <c r="G2" s="121"/>
      <c r="H2" s="121"/>
      <c r="I2" s="121"/>
      <c r="J2" s="121"/>
      <c r="K2" s="121"/>
      <c r="L2" s="121"/>
    </row>
    <row r="3" customFormat="false" ht="21.75" hidden="false" customHeight="true" outlineLevel="0" collapsed="false">
      <c r="A3" s="78" t="s">
        <v>1955</v>
      </c>
      <c r="B3" s="78"/>
      <c r="C3" s="78"/>
      <c r="D3" s="78"/>
      <c r="E3" s="78"/>
      <c r="F3" s="78"/>
      <c r="G3" s="78"/>
      <c r="H3" s="78"/>
      <c r="I3" s="78"/>
      <c r="J3" s="78"/>
      <c r="K3" s="78"/>
      <c r="L3" s="78"/>
    </row>
    <row r="4" customFormat="false" ht="42" hidden="false" customHeight="true" outlineLevel="0" collapsed="false">
      <c r="A4" s="3" t="s">
        <v>132</v>
      </c>
      <c r="B4" s="3" t="s">
        <v>1956</v>
      </c>
      <c r="C4" s="3" t="s">
        <v>1957</v>
      </c>
      <c r="D4" s="3" t="s">
        <v>1958</v>
      </c>
      <c r="E4" s="3" t="s">
        <v>1959</v>
      </c>
      <c r="F4" s="3" t="s">
        <v>1960</v>
      </c>
      <c r="G4" s="3" t="s">
        <v>1961</v>
      </c>
      <c r="H4" s="3" t="s">
        <v>1962</v>
      </c>
      <c r="I4" s="3" t="s">
        <v>1963</v>
      </c>
      <c r="J4" s="3" t="s">
        <v>1964</v>
      </c>
      <c r="K4" s="3" t="s">
        <v>1863</v>
      </c>
      <c r="L4" s="3" t="s">
        <v>479</v>
      </c>
    </row>
    <row r="5" customFormat="false" ht="22.35" hidden="false" customHeight="false" outlineLevel="0" collapsed="false">
      <c r="A5" s="40" t="n">
        <v>1</v>
      </c>
      <c r="B5" s="20" t="s">
        <v>1965</v>
      </c>
      <c r="C5" s="88" t="s">
        <v>204</v>
      </c>
      <c r="D5" s="68" t="n">
        <v>656.2</v>
      </c>
      <c r="E5" s="42" t="s">
        <v>1966</v>
      </c>
      <c r="F5" s="43" t="s">
        <v>1967</v>
      </c>
      <c r="G5" s="176" t="n">
        <v>7.28</v>
      </c>
      <c r="H5" s="177" t="n">
        <v>0.152</v>
      </c>
      <c r="I5" s="5" t="s">
        <v>1968</v>
      </c>
      <c r="J5" s="40" t="n">
        <v>1</v>
      </c>
      <c r="K5" s="15" t="s">
        <v>1969</v>
      </c>
      <c r="L5" s="41" t="s">
        <v>1970</v>
      </c>
    </row>
    <row r="6" customFormat="false" ht="15" hidden="false" customHeight="false" outlineLevel="0" collapsed="false">
      <c r="A6" s="40" t="n">
        <v>2</v>
      </c>
      <c r="B6" s="20" t="s">
        <v>1965</v>
      </c>
      <c r="C6" s="88" t="s">
        <v>204</v>
      </c>
      <c r="D6" s="68" t="n">
        <v>656.2</v>
      </c>
      <c r="E6" s="178" t="s">
        <v>1971</v>
      </c>
      <c r="F6" s="179" t="s">
        <v>1972</v>
      </c>
      <c r="G6" s="176" t="n">
        <v>7.42</v>
      </c>
      <c r="H6" s="177" t="n">
        <v>0.152</v>
      </c>
      <c r="I6" s="5" t="s">
        <v>1973</v>
      </c>
      <c r="J6" s="40" t="n">
        <v>2</v>
      </c>
      <c r="K6" s="15" t="s">
        <v>1974</v>
      </c>
      <c r="L6" s="41"/>
    </row>
    <row r="7" customFormat="false" ht="15" hidden="false" customHeight="false" outlineLevel="0" collapsed="false">
      <c r="A7" s="40" t="n">
        <v>3</v>
      </c>
      <c r="B7" s="20" t="s">
        <v>1965</v>
      </c>
      <c r="C7" s="88" t="s">
        <v>204</v>
      </c>
      <c r="D7" s="68" t="n">
        <v>656.2</v>
      </c>
      <c r="E7" s="94" t="s">
        <v>375</v>
      </c>
      <c r="F7" s="97" t="s">
        <v>1975</v>
      </c>
      <c r="G7" s="176" t="n">
        <v>9.52</v>
      </c>
      <c r="H7" s="177" t="n">
        <v>0.152</v>
      </c>
      <c r="I7" s="5" t="s">
        <v>1973</v>
      </c>
      <c r="J7" s="40" t="n">
        <v>3</v>
      </c>
      <c r="K7" s="15" t="s">
        <v>1974</v>
      </c>
      <c r="L7" s="41"/>
    </row>
    <row r="8" customFormat="false" ht="15" hidden="false" customHeight="false" outlineLevel="0" collapsed="false">
      <c r="A8" s="40" t="n">
        <v>4</v>
      </c>
      <c r="B8" s="20" t="s">
        <v>1965</v>
      </c>
      <c r="C8" s="88" t="s">
        <v>204</v>
      </c>
      <c r="D8" s="68" t="n">
        <v>656.2</v>
      </c>
      <c r="E8" s="180" t="s">
        <v>1976</v>
      </c>
      <c r="F8" s="181" t="s">
        <v>1977</v>
      </c>
      <c r="G8" s="176" t="n">
        <v>15.56</v>
      </c>
      <c r="H8" s="177" t="n">
        <v>0.152</v>
      </c>
      <c r="I8" s="5" t="s">
        <v>1973</v>
      </c>
      <c r="J8" s="40" t="n">
        <v>4</v>
      </c>
      <c r="K8" s="15" t="s">
        <v>1974</v>
      </c>
      <c r="L8" s="41"/>
    </row>
    <row r="9" customFormat="false" ht="15" hidden="false" customHeight="false" outlineLevel="0" collapsed="false">
      <c r="A9" s="40" t="n">
        <v>5</v>
      </c>
      <c r="B9" s="20" t="s">
        <v>1965</v>
      </c>
      <c r="C9" s="88" t="s">
        <v>204</v>
      </c>
      <c r="D9" s="68" t="n">
        <v>656.2</v>
      </c>
      <c r="E9" s="98" t="s">
        <v>1978</v>
      </c>
      <c r="F9" s="101" t="s">
        <v>1979</v>
      </c>
      <c r="G9" s="176" t="n">
        <v>25.11</v>
      </c>
      <c r="H9" s="177" t="n">
        <v>0</v>
      </c>
      <c r="I9" s="5" t="s">
        <v>1980</v>
      </c>
      <c r="J9" s="40" t="n">
        <v>5</v>
      </c>
      <c r="K9" s="15" t="s">
        <v>1974</v>
      </c>
      <c r="L9" s="41" t="s">
        <v>1981</v>
      </c>
    </row>
    <row r="10" customFormat="false" ht="15" hidden="false" customHeight="false" outlineLevel="0" collapsed="false">
      <c r="A10" s="40" t="n">
        <v>6</v>
      </c>
      <c r="B10" s="20" t="s">
        <v>1982</v>
      </c>
      <c r="C10" s="88" t="s">
        <v>204</v>
      </c>
      <c r="D10" s="68" t="n">
        <v>657.4</v>
      </c>
      <c r="E10" s="42" t="s">
        <v>1966</v>
      </c>
      <c r="F10" s="43" t="s">
        <v>1967</v>
      </c>
      <c r="G10" s="176" t="n">
        <v>7.25</v>
      </c>
      <c r="H10" s="177" t="n">
        <v>0.153</v>
      </c>
      <c r="I10" s="5" t="s">
        <v>1983</v>
      </c>
      <c r="J10" s="40" t="n">
        <v>1</v>
      </c>
      <c r="K10" s="15" t="s">
        <v>1974</v>
      </c>
      <c r="L10" s="41"/>
    </row>
    <row r="11" customFormat="false" ht="15" hidden="false" customHeight="false" outlineLevel="0" collapsed="false">
      <c r="A11" s="40" t="n">
        <v>7</v>
      </c>
      <c r="B11" s="20" t="s">
        <v>1982</v>
      </c>
      <c r="C11" s="88" t="s">
        <v>204</v>
      </c>
      <c r="D11" s="68" t="n">
        <v>657.4</v>
      </c>
      <c r="E11" s="178" t="s">
        <v>1971</v>
      </c>
      <c r="F11" s="179" t="s">
        <v>1972</v>
      </c>
      <c r="G11" s="176" t="n">
        <v>7.39</v>
      </c>
      <c r="H11" s="177" t="n">
        <v>0.153</v>
      </c>
      <c r="I11" s="5" t="s">
        <v>1973</v>
      </c>
      <c r="J11" s="40" t="n">
        <v>2</v>
      </c>
      <c r="K11" s="15" t="s">
        <v>1974</v>
      </c>
      <c r="L11" s="41"/>
    </row>
    <row r="12" customFormat="false" ht="15" hidden="false" customHeight="false" outlineLevel="0" collapsed="false">
      <c r="A12" s="40" t="n">
        <v>8</v>
      </c>
      <c r="B12" s="20" t="s">
        <v>1982</v>
      </c>
      <c r="C12" s="88" t="s">
        <v>204</v>
      </c>
      <c r="D12" s="68" t="n">
        <v>657.4</v>
      </c>
      <c r="E12" s="94" t="s">
        <v>375</v>
      </c>
      <c r="F12" s="97" t="s">
        <v>1975</v>
      </c>
      <c r="G12" s="176" t="n">
        <v>10.04</v>
      </c>
      <c r="H12" s="177" t="n">
        <v>0.153</v>
      </c>
      <c r="I12" s="5" t="s">
        <v>1973</v>
      </c>
      <c r="J12" s="40" t="n">
        <v>3</v>
      </c>
      <c r="K12" s="15" t="s">
        <v>1974</v>
      </c>
      <c r="L12" s="41"/>
    </row>
    <row r="13" customFormat="false" ht="15" hidden="false" customHeight="false" outlineLevel="0" collapsed="false">
      <c r="A13" s="40" t="n">
        <v>9</v>
      </c>
      <c r="B13" s="20" t="s">
        <v>1982</v>
      </c>
      <c r="C13" s="88" t="s">
        <v>204</v>
      </c>
      <c r="D13" s="68" t="n">
        <v>657.4</v>
      </c>
      <c r="E13" s="180" t="s">
        <v>1976</v>
      </c>
      <c r="F13" s="181" t="s">
        <v>1977</v>
      </c>
      <c r="G13" s="176" t="n">
        <v>15.69</v>
      </c>
      <c r="H13" s="177" t="n">
        <v>0.153</v>
      </c>
      <c r="I13" s="5" t="s">
        <v>1973</v>
      </c>
      <c r="J13" s="40" t="n">
        <v>4</v>
      </c>
      <c r="K13" s="15" t="s">
        <v>1974</v>
      </c>
      <c r="L13" s="41"/>
    </row>
    <row r="14" customFormat="false" ht="15" hidden="false" customHeight="false" outlineLevel="0" collapsed="false">
      <c r="A14" s="40" t="n">
        <v>10</v>
      </c>
      <c r="B14" s="20" t="s">
        <v>1984</v>
      </c>
      <c r="C14" s="88" t="s">
        <v>180</v>
      </c>
      <c r="D14" s="68" t="n">
        <v>1148</v>
      </c>
      <c r="E14" s="42" t="s">
        <v>1985</v>
      </c>
      <c r="F14" s="43" t="s">
        <v>1986</v>
      </c>
      <c r="G14" s="176" t="n">
        <v>4.94</v>
      </c>
      <c r="H14" s="177" t="n">
        <v>0.267</v>
      </c>
      <c r="I14" s="43" t="s">
        <v>1987</v>
      </c>
      <c r="J14" s="40" t="n">
        <v>1</v>
      </c>
      <c r="K14" s="15" t="s">
        <v>1974</v>
      </c>
      <c r="L14" s="41" t="s">
        <v>1988</v>
      </c>
    </row>
    <row r="15" customFormat="false" ht="15" hidden="false" customHeight="false" outlineLevel="0" collapsed="false">
      <c r="A15" s="40" t="n">
        <v>11</v>
      </c>
      <c r="B15" s="20" t="s">
        <v>1984</v>
      </c>
      <c r="C15" s="88" t="s">
        <v>180</v>
      </c>
      <c r="D15" s="68" t="n">
        <v>1148</v>
      </c>
      <c r="E15" s="182" t="s">
        <v>1989</v>
      </c>
      <c r="F15" s="183" t="s">
        <v>1990</v>
      </c>
      <c r="G15" s="176" t="n">
        <v>10.3</v>
      </c>
      <c r="H15" s="177" t="n">
        <v>0.267</v>
      </c>
      <c r="I15" s="5" t="s">
        <v>1991</v>
      </c>
      <c r="J15" s="40" t="n">
        <v>2</v>
      </c>
      <c r="K15" s="15" t="s">
        <v>1974</v>
      </c>
      <c r="L15" s="41"/>
    </row>
    <row r="16" customFormat="false" ht="15" hidden="false" customHeight="false" outlineLevel="0" collapsed="false">
      <c r="A16" s="40" t="n">
        <v>12</v>
      </c>
      <c r="B16" s="20" t="s">
        <v>1984</v>
      </c>
      <c r="C16" s="88" t="s">
        <v>180</v>
      </c>
      <c r="D16" s="68" t="n">
        <v>1148</v>
      </c>
      <c r="E16" s="11" t="s">
        <v>1992</v>
      </c>
      <c r="F16" s="86" t="s">
        <v>173</v>
      </c>
      <c r="G16" s="176" t="n">
        <v>15.1</v>
      </c>
      <c r="H16" s="177" t="n">
        <v>0.267</v>
      </c>
      <c r="I16" s="5" t="s">
        <v>1973</v>
      </c>
      <c r="J16" s="40" t="n">
        <v>3</v>
      </c>
      <c r="K16" s="15" t="s">
        <v>1974</v>
      </c>
      <c r="L16" s="41"/>
    </row>
    <row r="17" customFormat="false" ht="15" hidden="false" customHeight="false" outlineLevel="0" collapsed="false">
      <c r="A17" s="40" t="n">
        <v>13</v>
      </c>
      <c r="B17" s="20" t="s">
        <v>1993</v>
      </c>
      <c r="C17" s="88" t="s">
        <v>180</v>
      </c>
      <c r="D17" s="68" t="n">
        <v>383</v>
      </c>
      <c r="E17" s="42" t="s">
        <v>1358</v>
      </c>
      <c r="F17" s="43" t="s">
        <v>1994</v>
      </c>
      <c r="G17" s="176" t="n">
        <v>0</v>
      </c>
      <c r="H17" s="177" t="n">
        <v>0.089</v>
      </c>
      <c r="I17" s="43" t="s">
        <v>1995</v>
      </c>
      <c r="J17" s="40" t="n">
        <v>0</v>
      </c>
      <c r="K17" s="15" t="s">
        <v>1974</v>
      </c>
      <c r="L17" s="41" t="s">
        <v>1996</v>
      </c>
    </row>
    <row r="18" customFormat="false" ht="15" hidden="false" customHeight="false" outlineLevel="0" collapsed="false">
      <c r="A18" s="40" t="n">
        <v>14</v>
      </c>
      <c r="B18" s="20" t="s">
        <v>1993</v>
      </c>
      <c r="C18" s="88" t="s">
        <v>180</v>
      </c>
      <c r="D18" s="68" t="n">
        <v>383</v>
      </c>
      <c r="E18" s="42" t="s">
        <v>1985</v>
      </c>
      <c r="F18" s="43" t="s">
        <v>173</v>
      </c>
      <c r="G18" s="176" t="n">
        <v>3.79</v>
      </c>
      <c r="H18" s="177" t="n">
        <v>0.089</v>
      </c>
      <c r="I18" s="5" t="s">
        <v>1991</v>
      </c>
      <c r="J18" s="40" t="n">
        <v>1</v>
      </c>
      <c r="K18" s="15" t="s">
        <v>1974</v>
      </c>
      <c r="L18" s="41"/>
    </row>
    <row r="19" customFormat="false" ht="15" hidden="false" customHeight="false" outlineLevel="0" collapsed="false">
      <c r="A19" s="40" t="n">
        <v>15</v>
      </c>
      <c r="B19" s="20" t="s">
        <v>1997</v>
      </c>
      <c r="C19" s="88" t="s">
        <v>143</v>
      </c>
      <c r="D19" s="68" t="n">
        <v>112</v>
      </c>
      <c r="E19" s="42" t="s">
        <v>1358</v>
      </c>
      <c r="F19" s="43" t="s">
        <v>1998</v>
      </c>
      <c r="G19" s="176" t="n">
        <v>0</v>
      </c>
      <c r="H19" s="177" t="n">
        <v>0.026</v>
      </c>
      <c r="I19" s="43" t="s">
        <v>1995</v>
      </c>
      <c r="J19" s="40" t="n">
        <v>0</v>
      </c>
      <c r="K19" s="15" t="s">
        <v>1974</v>
      </c>
      <c r="L19" s="41" t="s">
        <v>1999</v>
      </c>
    </row>
    <row r="20" customFormat="false" ht="15" hidden="false" customHeight="false" outlineLevel="0" collapsed="false">
      <c r="A20" s="40" t="n">
        <v>16</v>
      </c>
      <c r="B20" s="20" t="s">
        <v>1997</v>
      </c>
      <c r="C20" s="88" t="s">
        <v>143</v>
      </c>
      <c r="D20" s="68" t="n">
        <v>112</v>
      </c>
      <c r="E20" s="182" t="s">
        <v>1989</v>
      </c>
      <c r="F20" s="183" t="s">
        <v>2000</v>
      </c>
      <c r="G20" s="176" t="n">
        <v>14.36</v>
      </c>
      <c r="H20" s="177" t="n">
        <v>0.026</v>
      </c>
      <c r="I20" s="5" t="s">
        <v>1973</v>
      </c>
      <c r="J20" s="40" t="n">
        <v>2</v>
      </c>
      <c r="K20" s="15" t="s">
        <v>1974</v>
      </c>
      <c r="L20" s="41"/>
    </row>
    <row r="21" customFormat="false" ht="15" hidden="false" customHeight="false" outlineLevel="0" collapsed="false">
      <c r="A21" s="40" t="n">
        <v>17</v>
      </c>
      <c r="B21" s="20" t="s">
        <v>1997</v>
      </c>
      <c r="C21" s="88" t="s">
        <v>143</v>
      </c>
      <c r="D21" s="68" t="n">
        <v>112</v>
      </c>
      <c r="E21" s="11" t="s">
        <v>1992</v>
      </c>
      <c r="F21" s="86" t="s">
        <v>173</v>
      </c>
      <c r="G21" s="176" t="n">
        <v>17.45</v>
      </c>
      <c r="H21" s="177" t="n">
        <v>0.026</v>
      </c>
      <c r="I21" s="5" t="s">
        <v>1973</v>
      </c>
      <c r="J21" s="40" t="n">
        <v>3</v>
      </c>
      <c r="K21" s="15" t="s">
        <v>1974</v>
      </c>
      <c r="L21" s="41"/>
    </row>
    <row r="22" customFormat="false" ht="15" hidden="false" customHeight="false" outlineLevel="0" collapsed="false">
      <c r="A22" s="40" t="n">
        <v>18</v>
      </c>
      <c r="B22" s="20" t="s">
        <v>2001</v>
      </c>
      <c r="C22" s="88" t="s">
        <v>143</v>
      </c>
      <c r="D22" s="68" t="n">
        <v>376</v>
      </c>
      <c r="E22" s="182" t="s">
        <v>1989</v>
      </c>
      <c r="F22" s="183" t="s">
        <v>2000</v>
      </c>
      <c r="G22" s="176" t="n">
        <v>13.08</v>
      </c>
      <c r="H22" s="177" t="n">
        <v>0.087</v>
      </c>
      <c r="I22" s="5" t="s">
        <v>1973</v>
      </c>
      <c r="J22" s="40" t="n">
        <v>2</v>
      </c>
      <c r="K22" s="15" t="s">
        <v>1974</v>
      </c>
      <c r="L22" s="41"/>
    </row>
    <row r="23" customFormat="false" ht="15" hidden="false" customHeight="false" outlineLevel="0" collapsed="false">
      <c r="A23" s="40" t="n">
        <v>19</v>
      </c>
      <c r="B23" s="20" t="s">
        <v>2001</v>
      </c>
      <c r="C23" s="88" t="s">
        <v>143</v>
      </c>
      <c r="D23" s="68" t="n">
        <v>376</v>
      </c>
      <c r="E23" s="11" t="s">
        <v>1992</v>
      </c>
      <c r="F23" s="86" t="s">
        <v>173</v>
      </c>
      <c r="G23" s="176" t="n">
        <v>15.1</v>
      </c>
      <c r="H23" s="177" t="n">
        <v>0.087</v>
      </c>
      <c r="I23" s="5" t="s">
        <v>1973</v>
      </c>
      <c r="J23" s="40" t="n">
        <v>3</v>
      </c>
      <c r="K23" s="15" t="s">
        <v>1974</v>
      </c>
      <c r="L23" s="41"/>
    </row>
    <row r="24" customFormat="false" ht="15" hidden="false" customHeight="false" outlineLevel="0" collapsed="false">
      <c r="A24" s="40" t="n">
        <v>20</v>
      </c>
      <c r="B24" s="20" t="s">
        <v>2002</v>
      </c>
      <c r="C24" s="88" t="s">
        <v>143</v>
      </c>
      <c r="D24" s="68" t="n">
        <v>375</v>
      </c>
      <c r="E24" s="182" t="s">
        <v>1989</v>
      </c>
      <c r="F24" s="183" t="s">
        <v>2000</v>
      </c>
      <c r="G24" s="176" t="n">
        <v>12.73</v>
      </c>
      <c r="H24" s="177" t="n">
        <v>0.087</v>
      </c>
      <c r="I24" s="5" t="s">
        <v>1973</v>
      </c>
      <c r="J24" s="40" t="n">
        <v>2</v>
      </c>
      <c r="K24" s="15" t="s">
        <v>1974</v>
      </c>
      <c r="L24" s="41"/>
    </row>
    <row r="25" customFormat="false" ht="15" hidden="false" customHeight="false" outlineLevel="0" collapsed="false">
      <c r="A25" s="40" t="n">
        <v>21</v>
      </c>
      <c r="B25" s="20" t="s">
        <v>2002</v>
      </c>
      <c r="C25" s="88" t="s">
        <v>143</v>
      </c>
      <c r="D25" s="68" t="n">
        <v>375</v>
      </c>
      <c r="E25" s="11" t="s">
        <v>1992</v>
      </c>
      <c r="F25" s="86" t="s">
        <v>173</v>
      </c>
      <c r="G25" s="176" t="n">
        <v>15.1</v>
      </c>
      <c r="H25" s="177" t="n">
        <v>0.087</v>
      </c>
      <c r="I25" s="5" t="s">
        <v>1973</v>
      </c>
      <c r="J25" s="40" t="n">
        <v>3</v>
      </c>
      <c r="K25" s="15" t="s">
        <v>1974</v>
      </c>
      <c r="L25" s="41"/>
    </row>
    <row r="26" customFormat="false" ht="15" hidden="false" customHeight="false" outlineLevel="0" collapsed="false">
      <c r="A26" s="40" t="n">
        <v>22</v>
      </c>
      <c r="B26" s="20" t="s">
        <v>2003</v>
      </c>
      <c r="C26" s="88" t="s">
        <v>173</v>
      </c>
      <c r="D26" s="68" t="n">
        <v>156</v>
      </c>
      <c r="E26" s="182" t="s">
        <v>1989</v>
      </c>
      <c r="F26" s="183" t="s">
        <v>2000</v>
      </c>
      <c r="G26" s="176" t="n">
        <v>10.3</v>
      </c>
      <c r="H26" s="177" t="n">
        <v>0.036</v>
      </c>
      <c r="I26" s="5" t="s">
        <v>1973</v>
      </c>
      <c r="J26" s="40" t="n">
        <v>2</v>
      </c>
      <c r="K26" s="15" t="s">
        <v>1974</v>
      </c>
      <c r="L26" s="41"/>
    </row>
    <row r="27" customFormat="false" ht="15" hidden="false" customHeight="false" outlineLevel="0" collapsed="false">
      <c r="A27" s="40" t="n">
        <v>23</v>
      </c>
      <c r="B27" s="20" t="s">
        <v>2003</v>
      </c>
      <c r="C27" s="88" t="s">
        <v>173</v>
      </c>
      <c r="D27" s="68" t="n">
        <v>156</v>
      </c>
      <c r="E27" s="11" t="s">
        <v>1992</v>
      </c>
      <c r="F27" s="86" t="s">
        <v>173</v>
      </c>
      <c r="G27" s="176" t="n">
        <v>15.1</v>
      </c>
      <c r="H27" s="177" t="n">
        <v>0.036</v>
      </c>
      <c r="I27" s="5" t="s">
        <v>1973</v>
      </c>
      <c r="J27" s="40" t="n">
        <v>3</v>
      </c>
      <c r="K27" s="15" t="s">
        <v>1974</v>
      </c>
      <c r="L27" s="41"/>
    </row>
    <row r="28" customFormat="false" ht="15" hidden="false" customHeight="false" outlineLevel="0" collapsed="false">
      <c r="A28" s="40" t="n">
        <v>24</v>
      </c>
      <c r="B28" s="20" t="s">
        <v>2004</v>
      </c>
      <c r="C28" s="88" t="s">
        <v>173</v>
      </c>
      <c r="D28" s="68" t="n">
        <v>703</v>
      </c>
      <c r="E28" s="182" t="s">
        <v>1989</v>
      </c>
      <c r="F28" s="183" t="s">
        <v>2000</v>
      </c>
      <c r="G28" s="176" t="n">
        <v>11.89</v>
      </c>
      <c r="H28" s="177" t="n">
        <v>0.163</v>
      </c>
      <c r="I28" s="5" t="s">
        <v>1973</v>
      </c>
      <c r="J28" s="40" t="n">
        <v>2</v>
      </c>
      <c r="K28" s="15" t="s">
        <v>1974</v>
      </c>
      <c r="L28" s="41"/>
    </row>
    <row r="29" customFormat="false" ht="15" hidden="false" customHeight="false" outlineLevel="0" collapsed="false">
      <c r="A29" s="40" t="n">
        <v>25</v>
      </c>
      <c r="B29" s="20" t="s">
        <v>2004</v>
      </c>
      <c r="C29" s="88" t="s">
        <v>173</v>
      </c>
      <c r="D29" s="68" t="n">
        <v>703</v>
      </c>
      <c r="E29" s="11" t="s">
        <v>1992</v>
      </c>
      <c r="F29" s="86" t="s">
        <v>173</v>
      </c>
      <c r="G29" s="176" t="n">
        <v>15.6</v>
      </c>
      <c r="H29" s="177" t="n">
        <v>0.163</v>
      </c>
      <c r="I29" s="5" t="s">
        <v>1973</v>
      </c>
      <c r="J29" s="40" t="n">
        <v>3</v>
      </c>
      <c r="K29" s="15" t="s">
        <v>1974</v>
      </c>
      <c r="L29" s="41"/>
    </row>
  </sheetData>
  <mergeCells count="3">
    <mergeCell ref="A1:L1"/>
    <mergeCell ref="A2:L2"/>
    <mergeCell ref="A3:L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2026-06-03T23:40:15Z</dcterms:created>
  <dc:creator>openpyxl</dc:creator>
  <dc:description/>
  <dc:language>en-US</dc:language>
  <cp:lastModifiedBy/>
  <dcterms:modified xsi:type="dcterms:W3CDTF">2026-06-05T01:29:28Z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